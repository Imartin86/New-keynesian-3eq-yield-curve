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C:\Users\ebprogoc\Desktop\"/>
    </mc:Choice>
  </mc:AlternateContent>
  <xr:revisionPtr revIDLastSave="0" documentId="8_{F709E159-5E43-4C7E-95C2-C6392B5E8714}" xr6:coauthVersionLast="47" xr6:coauthVersionMax="47" xr10:uidLastSave="{00000000-0000-0000-0000-000000000000}"/>
  <bookViews>
    <workbookView xWindow="0" yWindow="0" windowWidth="24300" windowHeight="9645" activeTab="1" xr2:uid="{00000000-000D-0000-FFFF-FFFF00000000}"/>
  </bookViews>
  <sheets>
    <sheet name="Positive_shock" sheetId="3" r:id="rId1"/>
    <sheet name="Negative_shock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5" l="1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K2" i="5" s="1"/>
  <c r="K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I3" i="5" l="1"/>
  <c r="J3" i="5" s="1"/>
  <c r="L2" i="5"/>
  <c r="K3" i="5"/>
  <c r="I3" i="3"/>
  <c r="J3" i="3" s="1"/>
  <c r="K3" i="3" s="1"/>
  <c r="L2" i="3"/>
  <c r="I4" i="5" l="1"/>
  <c r="L3" i="5"/>
  <c r="J4" i="5"/>
  <c r="I4" i="3"/>
  <c r="J4" i="3" s="1"/>
  <c r="K4" i="3" s="1"/>
  <c r="L3" i="3"/>
  <c r="K4" i="5" l="1"/>
  <c r="I5" i="3"/>
  <c r="J5" i="3" s="1"/>
  <c r="L4" i="3"/>
  <c r="I5" i="5" l="1"/>
  <c r="J5" i="5" s="1"/>
  <c r="L4" i="5"/>
  <c r="J6" i="3"/>
  <c r="K6" i="3" s="1"/>
  <c r="K5" i="3"/>
  <c r="L6" i="3"/>
  <c r="L5" i="3"/>
  <c r="K5" i="5" l="1"/>
  <c r="I7" i="3"/>
  <c r="J7" i="3" s="1"/>
  <c r="K7" i="3" s="1"/>
  <c r="L7" i="3"/>
  <c r="L5" i="5" l="1"/>
  <c r="I6" i="5"/>
  <c r="J6" i="5" s="1"/>
  <c r="K6" i="5"/>
  <c r="I8" i="3"/>
  <c r="J8" i="3" s="1"/>
  <c r="K8" i="3" s="1"/>
  <c r="L8" i="3"/>
  <c r="I7" i="5" l="1"/>
  <c r="J7" i="5" s="1"/>
  <c r="L6" i="5"/>
  <c r="I9" i="3"/>
  <c r="J9" i="3" s="1"/>
  <c r="K9" i="3" s="1"/>
  <c r="L9" i="3"/>
  <c r="K7" i="5" l="1"/>
  <c r="I10" i="3"/>
  <c r="J10" i="3" s="1"/>
  <c r="K10" i="3" s="1"/>
  <c r="L10" i="3"/>
  <c r="I8" i="5" l="1"/>
  <c r="J8" i="5" s="1"/>
  <c r="L7" i="5"/>
  <c r="I11" i="3"/>
  <c r="J11" i="3" s="1"/>
  <c r="K11" i="3" s="1"/>
  <c r="L11" i="3"/>
  <c r="K8" i="5" l="1"/>
  <c r="I12" i="3"/>
  <c r="J12" i="3" s="1"/>
  <c r="K12" i="3" s="1"/>
  <c r="L12" i="3"/>
  <c r="I9" i="5" l="1"/>
  <c r="J9" i="5" s="1"/>
  <c r="L8" i="5"/>
  <c r="I13" i="3"/>
  <c r="J13" i="3" s="1"/>
  <c r="K13" i="3" s="1"/>
  <c r="L13" i="3"/>
  <c r="K9" i="5" l="1"/>
  <c r="I14" i="3"/>
  <c r="J14" i="3" s="1"/>
  <c r="K14" i="3" s="1"/>
  <c r="L14" i="3"/>
  <c r="I10" i="5" l="1"/>
  <c r="J10" i="5" s="1"/>
  <c r="L9" i="5"/>
  <c r="I15" i="3"/>
  <c r="J15" i="3" s="1"/>
  <c r="K15" i="3" s="1"/>
  <c r="L15" i="3"/>
  <c r="K10" i="5" l="1"/>
  <c r="I16" i="3"/>
  <c r="J16" i="3" s="1"/>
  <c r="K16" i="3" s="1"/>
  <c r="L16" i="3"/>
  <c r="I11" i="5" l="1"/>
  <c r="J11" i="5" s="1"/>
  <c r="L10" i="5"/>
  <c r="I17" i="3"/>
  <c r="J17" i="3" s="1"/>
  <c r="K17" i="3" s="1"/>
  <c r="L17" i="3"/>
  <c r="K11" i="5" l="1"/>
  <c r="I18" i="3"/>
  <c r="J18" i="3" s="1"/>
  <c r="K18" i="3" s="1"/>
  <c r="L18" i="3"/>
  <c r="I12" i="5" l="1"/>
  <c r="J12" i="5" s="1"/>
  <c r="L11" i="5"/>
  <c r="I19" i="3"/>
  <c r="J19" i="3" s="1"/>
  <c r="K19" i="3" s="1"/>
  <c r="L19" i="3"/>
  <c r="K12" i="5" l="1"/>
  <c r="I20" i="3"/>
  <c r="J20" i="3" s="1"/>
  <c r="K20" i="3" s="1"/>
  <c r="L20" i="3"/>
  <c r="I13" i="5" l="1"/>
  <c r="J13" i="5" s="1"/>
  <c r="L12" i="5"/>
  <c r="I21" i="3"/>
  <c r="J21" i="3" s="1"/>
  <c r="K21" i="3" s="1"/>
  <c r="L21" i="3"/>
  <c r="K13" i="5" l="1"/>
  <c r="I22" i="3"/>
  <c r="J22" i="3" s="1"/>
  <c r="K22" i="3" s="1"/>
  <c r="L22" i="3"/>
  <c r="I14" i="5" l="1"/>
  <c r="J14" i="5" s="1"/>
  <c r="L13" i="5"/>
  <c r="I23" i="3"/>
  <c r="J23" i="3" s="1"/>
  <c r="K23" i="3" s="1"/>
  <c r="L23" i="3"/>
  <c r="K14" i="5" l="1"/>
  <c r="I24" i="3"/>
  <c r="J24" i="3" s="1"/>
  <c r="K24" i="3" s="1"/>
  <c r="L24" i="3"/>
  <c r="I15" i="5" l="1"/>
  <c r="J15" i="5" s="1"/>
  <c r="L14" i="5"/>
  <c r="I25" i="3"/>
  <c r="J25" i="3" s="1"/>
  <c r="K25" i="3" s="1"/>
  <c r="L25" i="3"/>
  <c r="K15" i="5" l="1"/>
  <c r="I26" i="3"/>
  <c r="J26" i="3" s="1"/>
  <c r="K26" i="3" s="1"/>
  <c r="L26" i="3"/>
  <c r="I16" i="5" l="1"/>
  <c r="J16" i="5" s="1"/>
  <c r="L15" i="5"/>
  <c r="I27" i="3"/>
  <c r="J27" i="3" s="1"/>
  <c r="K27" i="3" s="1"/>
  <c r="L27" i="3"/>
  <c r="K16" i="5" l="1"/>
  <c r="I28" i="3"/>
  <c r="J28" i="3" s="1"/>
  <c r="K28" i="3" s="1"/>
  <c r="L28" i="3"/>
  <c r="I17" i="5" l="1"/>
  <c r="J17" i="5" s="1"/>
  <c r="L16" i="5"/>
  <c r="I29" i="3"/>
  <c r="J29" i="3" s="1"/>
  <c r="K29" i="3" s="1"/>
  <c r="L29" i="3"/>
  <c r="K17" i="5" l="1"/>
  <c r="I30" i="3"/>
  <c r="J30" i="3" s="1"/>
  <c r="K30" i="3" s="1"/>
  <c r="I18" i="5" l="1"/>
  <c r="J18" i="5" s="1"/>
  <c r="L17" i="5"/>
  <c r="I31" i="3"/>
  <c r="J31" i="3" s="1"/>
  <c r="K31" i="3" s="1"/>
  <c r="L30" i="3"/>
  <c r="L31" i="3"/>
  <c r="K18" i="5" l="1"/>
  <c r="I19" i="5" l="1"/>
  <c r="J19" i="5" s="1"/>
  <c r="L18" i="5"/>
  <c r="K19" i="5" l="1"/>
  <c r="I20" i="5" l="1"/>
  <c r="J20" i="5" s="1"/>
  <c r="L19" i="5"/>
  <c r="K20" i="5" l="1"/>
  <c r="I21" i="5" l="1"/>
  <c r="J21" i="5" s="1"/>
  <c r="L20" i="5"/>
  <c r="K21" i="5" l="1"/>
  <c r="I22" i="5" l="1"/>
  <c r="J22" i="5" s="1"/>
  <c r="L21" i="5"/>
  <c r="K22" i="5" l="1"/>
  <c r="I23" i="5" l="1"/>
  <c r="J23" i="5" s="1"/>
  <c r="L22" i="5"/>
  <c r="K23" i="5" l="1"/>
  <c r="I24" i="5" l="1"/>
  <c r="J24" i="5" s="1"/>
  <c r="L23" i="5"/>
  <c r="K24" i="5" l="1"/>
  <c r="I25" i="5" l="1"/>
  <c r="J25" i="5" s="1"/>
  <c r="L24" i="5"/>
  <c r="K25" i="5" l="1"/>
  <c r="I26" i="5" l="1"/>
  <c r="J26" i="5" s="1"/>
  <c r="L25" i="5"/>
  <c r="K26" i="5" l="1"/>
  <c r="I27" i="5" l="1"/>
  <c r="J27" i="5" s="1"/>
  <c r="L26" i="5"/>
  <c r="K27" i="5" l="1"/>
  <c r="I28" i="5" l="1"/>
  <c r="J28" i="5" s="1"/>
  <c r="L27" i="5"/>
  <c r="K28" i="5" l="1"/>
  <c r="I29" i="5" l="1"/>
  <c r="J29" i="5" s="1"/>
  <c r="L28" i="5"/>
  <c r="K29" i="5" l="1"/>
  <c r="I30" i="5" l="1"/>
  <c r="J30" i="5" s="1"/>
  <c r="L29" i="5"/>
  <c r="K30" i="5" l="1"/>
  <c r="I31" i="5" l="1"/>
  <c r="J31" i="5" s="1"/>
  <c r="K31" i="5" s="1"/>
  <c r="L31" i="5" s="1"/>
  <c r="L30" i="5"/>
</calcChain>
</file>

<file path=xl/sharedStrings.xml><?xml version="1.0" encoding="utf-8"?>
<sst xmlns="http://schemas.openxmlformats.org/spreadsheetml/2006/main" count="30" uniqueCount="14">
  <si>
    <t>periodos</t>
  </si>
  <si>
    <r>
      <t>Y</t>
    </r>
    <r>
      <rPr>
        <vertAlign val="subscript"/>
        <sz val="11"/>
        <color theme="1"/>
        <rFont val="Calibri"/>
        <family val="2"/>
        <scheme val="minor"/>
      </rPr>
      <t>n</t>
    </r>
  </si>
  <si>
    <t>A</t>
  </si>
  <si>
    <t>a</t>
  </si>
  <si>
    <t>b</t>
  </si>
  <si>
    <r>
      <rPr>
        <sz val="11"/>
        <color rgb="FF000000"/>
        <rFont val="Symbol"/>
      </rPr>
      <t>P</t>
    </r>
    <r>
      <rPr>
        <vertAlign val="superscript"/>
        <sz val="11"/>
        <color rgb="FF000000"/>
        <rFont val="Symbol"/>
      </rPr>
      <t>T</t>
    </r>
  </si>
  <si>
    <r>
      <t>r</t>
    </r>
    <r>
      <rPr>
        <vertAlign val="superscript"/>
        <sz val="11"/>
        <color theme="1"/>
        <rFont val="Calibri"/>
        <family val="2"/>
        <scheme val="minor"/>
      </rPr>
      <t>s</t>
    </r>
  </si>
  <si>
    <t>Yt</t>
  </si>
  <si>
    <r>
      <t>P</t>
    </r>
    <r>
      <rPr>
        <vertAlign val="subscript"/>
        <sz val="11"/>
        <color theme="1"/>
        <rFont val="Calibri"/>
        <family val="2"/>
        <scheme val="minor"/>
      </rPr>
      <t>t</t>
    </r>
  </si>
  <si>
    <r>
      <t>r</t>
    </r>
    <r>
      <rPr>
        <vertAlign val="subscript"/>
        <sz val="11"/>
        <color theme="1"/>
        <rFont val="Calibri"/>
        <family val="2"/>
        <scheme val="minor"/>
      </rPr>
      <t>t</t>
    </r>
  </si>
  <si>
    <t>it</t>
  </si>
  <si>
    <t>Starting Point: Period 6</t>
  </si>
  <si>
    <t xml:space="preserve">Time to Maturity 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</si>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</sst>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1"/>
      <color theme="1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Symbol"/>
    </font>
    <font>
      <vertAlign val="superscript"/>
      <sz val="11"/>
      <color rgb="FF000000"/>
      <name val="Symbol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1" fillId="3" borderId="1" xfId="0" applyFont="1" applyFill="1" applyBorder="1" applyAlignment="1">
      <alignment horizontal="center"/>
    </xf>
    <xf numFmtId="0" fontId="0" fillId="3" borderId="0" xfId="0" applyFill="1"/>
    <xf numFmtId="0" fontId="3" fillId="3" borderId="0" xfId="0" applyFont="1" applyFill="1"/>
    <xf numFmtId="0" fontId="2" fillId="4" borderId="3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6" fillId="3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Positive_shock!$I$1</c:f>
              <c:strCache>
                <c:ptCount val="1"/>
                <c:pt idx="0">
                  <c:v>Yt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Positive_shock!$I$2:$I$31</c:f>
              <c:numCache>
                <c:formatCode>General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102</c:v>
                </c:pt>
                <c:pt idx="5">
                  <c:v>99.333333333333329</c:v>
                </c:pt>
                <c:pt idx="6">
                  <c:v>99.555555555555557</c:v>
                </c:pt>
                <c:pt idx="7">
                  <c:v>99.703703703703709</c:v>
                </c:pt>
                <c:pt idx="8">
                  <c:v>99.802469135802468</c:v>
                </c:pt>
                <c:pt idx="9">
                  <c:v>99.86831275720165</c:v>
                </c:pt>
                <c:pt idx="10">
                  <c:v>99.9122085048011</c:v>
                </c:pt>
                <c:pt idx="11">
                  <c:v>99.941472336534062</c:v>
                </c:pt>
                <c:pt idx="12">
                  <c:v>99.960981557689379</c:v>
                </c:pt>
                <c:pt idx="13">
                  <c:v>99.973987705126248</c:v>
                </c:pt>
                <c:pt idx="14">
                  <c:v>99.982658470084161</c:v>
                </c:pt>
                <c:pt idx="15">
                  <c:v>99.988438980056117</c:v>
                </c:pt>
                <c:pt idx="16">
                  <c:v>99.99229265337074</c:v>
                </c:pt>
                <c:pt idx="17">
                  <c:v>99.994861768913822</c:v>
                </c:pt>
                <c:pt idx="18">
                  <c:v>99.996574512609214</c:v>
                </c:pt>
                <c:pt idx="19">
                  <c:v>99.997716341739476</c:v>
                </c:pt>
                <c:pt idx="20">
                  <c:v>99.99847756115966</c:v>
                </c:pt>
                <c:pt idx="21">
                  <c:v>99.998985040773107</c:v>
                </c:pt>
                <c:pt idx="22">
                  <c:v>99.999323360515405</c:v>
                </c:pt>
                <c:pt idx="23">
                  <c:v>99.999548907010265</c:v>
                </c:pt>
                <c:pt idx="24">
                  <c:v>99.999699271340177</c:v>
                </c:pt>
                <c:pt idx="25">
                  <c:v>99.99979951422678</c:v>
                </c:pt>
                <c:pt idx="26">
                  <c:v>99.999866342817853</c:v>
                </c:pt>
                <c:pt idx="27">
                  <c:v>99.999910895211912</c:v>
                </c:pt>
                <c:pt idx="28">
                  <c:v>99.999940596807932</c:v>
                </c:pt>
                <c:pt idx="29">
                  <c:v>99.999960397871959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02-486C-9547-CA4725219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16752"/>
        <c:axId val="324218720"/>
      </c:lineChart>
      <c:catAx>
        <c:axId val="324216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4218720"/>
        <c:crosses val="autoZero"/>
        <c:auto val="1"/>
        <c:lblAlgn val="ctr"/>
        <c:lblOffset val="100"/>
        <c:noMultiLvlLbl val="0"/>
      </c:catAx>
      <c:valAx>
        <c:axId val="32421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421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Positive_shock!$J$1</c:f>
              <c:strCache>
                <c:ptCount val="1"/>
                <c:pt idx="0">
                  <c:v>Pt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Positive_shock!$J$2:$J$31</c:f>
              <c:numCache>
                <c:formatCode>General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2.6666666666666643</c:v>
                </c:pt>
                <c:pt idx="6">
                  <c:v>2.4444444444444429</c:v>
                </c:pt>
                <c:pt idx="7">
                  <c:v>2.2962962962962976</c:v>
                </c:pt>
                <c:pt idx="8">
                  <c:v>2.1975308641975317</c:v>
                </c:pt>
                <c:pt idx="9">
                  <c:v>2.1316872427983569</c:v>
                </c:pt>
                <c:pt idx="10">
                  <c:v>2.0877914951989069</c:v>
                </c:pt>
                <c:pt idx="11">
                  <c:v>2.058527663465938</c:v>
                </c:pt>
                <c:pt idx="12">
                  <c:v>2.0390184423106277</c:v>
                </c:pt>
                <c:pt idx="13">
                  <c:v>2.0260122948737518</c:v>
                </c:pt>
                <c:pt idx="14">
                  <c:v>2.0173415299158322</c:v>
                </c:pt>
                <c:pt idx="15">
                  <c:v>2.0115610199438905</c:v>
                </c:pt>
                <c:pt idx="16">
                  <c:v>2.0077073466292603</c:v>
                </c:pt>
                <c:pt idx="17">
                  <c:v>2.0051382310861712</c:v>
                </c:pt>
                <c:pt idx="18">
                  <c:v>2.0034254873907784</c:v>
                </c:pt>
                <c:pt idx="19">
                  <c:v>2.0022836582605166</c:v>
                </c:pt>
                <c:pt idx="20">
                  <c:v>2.0015224388403468</c:v>
                </c:pt>
                <c:pt idx="21">
                  <c:v>2.0010149592269002</c:v>
                </c:pt>
                <c:pt idx="22">
                  <c:v>2.0006766394846025</c:v>
                </c:pt>
                <c:pt idx="23">
                  <c:v>2.000451092989735</c:v>
                </c:pt>
                <c:pt idx="24">
                  <c:v>2.0003007286598233</c:v>
                </c:pt>
                <c:pt idx="25">
                  <c:v>2.0002004857732132</c:v>
                </c:pt>
                <c:pt idx="26">
                  <c:v>2.0001336571821398</c:v>
                </c:pt>
                <c:pt idx="27">
                  <c:v>2.0000891047880955</c:v>
                </c:pt>
                <c:pt idx="28">
                  <c:v>2.0000594031920613</c:v>
                </c:pt>
                <c:pt idx="29">
                  <c:v>2.0000396021280409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3E-4885-A8BA-915A27BDB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20688"/>
        <c:axId val="324219376"/>
      </c:lineChart>
      <c:catAx>
        <c:axId val="324220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4219376"/>
        <c:crosses val="autoZero"/>
        <c:auto val="1"/>
        <c:lblAlgn val="ctr"/>
        <c:lblOffset val="100"/>
        <c:noMultiLvlLbl val="0"/>
      </c:catAx>
      <c:valAx>
        <c:axId val="32421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422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Positive_shock!$K$1</c:f>
              <c:strCache>
                <c:ptCount val="1"/>
                <c:pt idx="0">
                  <c:v>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Positive_shock!$K$2:$K$30</c:f>
              <c:numCache>
                <c:formatCode>General</c:formatCode>
                <c:ptCount val="2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5.333333333333333</c:v>
                </c:pt>
                <c:pt idx="5">
                  <c:v>5.2222222222222214</c:v>
                </c:pt>
                <c:pt idx="6">
                  <c:v>5.1481481481481479</c:v>
                </c:pt>
                <c:pt idx="7">
                  <c:v>5.0987654320987659</c:v>
                </c:pt>
                <c:pt idx="8">
                  <c:v>5.0658436213991775</c:v>
                </c:pt>
                <c:pt idx="9">
                  <c:v>5.0438957475994526</c:v>
                </c:pt>
                <c:pt idx="10">
                  <c:v>5.029263831732969</c:v>
                </c:pt>
                <c:pt idx="11">
                  <c:v>5.019509221155313</c:v>
                </c:pt>
                <c:pt idx="12">
                  <c:v>5.0130061474368759</c:v>
                </c:pt>
                <c:pt idx="13">
                  <c:v>5.008670764957917</c:v>
                </c:pt>
                <c:pt idx="14">
                  <c:v>5.0057805099719443</c:v>
                </c:pt>
                <c:pt idx="15">
                  <c:v>5.0038536733146302</c:v>
                </c:pt>
                <c:pt idx="16">
                  <c:v>5.0025691155430865</c:v>
                </c:pt>
                <c:pt idx="17">
                  <c:v>5.0017127436953901</c:v>
                </c:pt>
                <c:pt idx="18">
                  <c:v>5.0011418291302592</c:v>
                </c:pt>
                <c:pt idx="19">
                  <c:v>5.0007612194201725</c:v>
                </c:pt>
                <c:pt idx="20">
                  <c:v>5.0005074796134492</c:v>
                </c:pt>
                <c:pt idx="21">
                  <c:v>5.0003383197423004</c:v>
                </c:pt>
                <c:pt idx="22">
                  <c:v>5.0002255464948675</c:v>
                </c:pt>
                <c:pt idx="23">
                  <c:v>5.0001503643299117</c:v>
                </c:pt>
                <c:pt idx="24">
                  <c:v>5.0001002428866075</c:v>
                </c:pt>
                <c:pt idx="25">
                  <c:v>5.0000668285910708</c:v>
                </c:pt>
                <c:pt idx="26">
                  <c:v>5.0000445523940469</c:v>
                </c:pt>
                <c:pt idx="27">
                  <c:v>5.0000297015960316</c:v>
                </c:pt>
                <c:pt idx="28">
                  <c:v>5.0000198010640204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6-459F-A8A6-2D4263DCA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949776"/>
        <c:axId val="364949448"/>
      </c:lineChart>
      <c:catAx>
        <c:axId val="364949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4949448"/>
        <c:crosses val="autoZero"/>
        <c:auto val="1"/>
        <c:lblAlgn val="ctr"/>
        <c:lblOffset val="100"/>
        <c:noMultiLvlLbl val="0"/>
      </c:catAx>
      <c:valAx>
        <c:axId val="364949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494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Yield curve</c:v>
          </c:tx>
          <c:spPr>
            <a:ln w="2857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Positive_shock!$O$3:$S$3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20</c:v>
                </c:pt>
              </c:numCache>
            </c:numRef>
          </c:cat>
          <c:val>
            <c:numRef>
              <c:f>Positive_shock!$O$4:$S$4</c:f>
              <c:numCache>
                <c:formatCode>General</c:formatCode>
                <c:ptCount val="5"/>
                <c:pt idx="0">
                  <c:v>7.9382799999999998</c:v>
                </c:pt>
                <c:pt idx="1">
                  <c:v>7.6081799999999999</c:v>
                </c:pt>
                <c:pt idx="2">
                  <c:v>7.4329400000000003</c:v>
                </c:pt>
                <c:pt idx="3">
                  <c:v>7.3308299999999997</c:v>
                </c:pt>
                <c:pt idx="4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019-40C7-89AF-83B8543F6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945735"/>
        <c:axId val="271947783"/>
      </c:lineChart>
      <c:catAx>
        <c:axId val="271945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to 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47783"/>
        <c:crosses val="autoZero"/>
        <c:auto val="1"/>
        <c:lblAlgn val="ctr"/>
        <c:lblOffset val="100"/>
        <c:noMultiLvlLbl val="0"/>
      </c:catAx>
      <c:valAx>
        <c:axId val="271947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45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Negative_shock!$I$1</c:f>
              <c:strCache>
                <c:ptCount val="1"/>
                <c:pt idx="0">
                  <c:v>Yt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Negative_shock!$I$2:$I$31</c:f>
              <c:numCache>
                <c:formatCode>General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97</c:v>
                </c:pt>
                <c:pt idx="5">
                  <c:v>101.5</c:v>
                </c:pt>
                <c:pt idx="6">
                  <c:v>100.75</c:v>
                </c:pt>
                <c:pt idx="7">
                  <c:v>100.375</c:v>
                </c:pt>
                <c:pt idx="8">
                  <c:v>100.1875</c:v>
                </c:pt>
                <c:pt idx="9">
                  <c:v>100.09375</c:v>
                </c:pt>
                <c:pt idx="10">
                  <c:v>100.046875</c:v>
                </c:pt>
                <c:pt idx="11">
                  <c:v>100.0234375</c:v>
                </c:pt>
                <c:pt idx="12">
                  <c:v>100.01171875</c:v>
                </c:pt>
                <c:pt idx="13">
                  <c:v>100.005859375</c:v>
                </c:pt>
                <c:pt idx="14">
                  <c:v>100.0029296875</c:v>
                </c:pt>
                <c:pt idx="15">
                  <c:v>100.00146484375</c:v>
                </c:pt>
                <c:pt idx="16">
                  <c:v>100.000732421875</c:v>
                </c:pt>
                <c:pt idx="17">
                  <c:v>100.0003662109375</c:v>
                </c:pt>
                <c:pt idx="18">
                  <c:v>100.00018310546875</c:v>
                </c:pt>
                <c:pt idx="19">
                  <c:v>100.00009155273438</c:v>
                </c:pt>
                <c:pt idx="20">
                  <c:v>100.00004577636719</c:v>
                </c:pt>
                <c:pt idx="21">
                  <c:v>100.00002288818359</c:v>
                </c:pt>
                <c:pt idx="22">
                  <c:v>100.0000114440918</c:v>
                </c:pt>
                <c:pt idx="23">
                  <c:v>100.0000057220459</c:v>
                </c:pt>
                <c:pt idx="24">
                  <c:v>100.00000286102295</c:v>
                </c:pt>
                <c:pt idx="25">
                  <c:v>100.00000143051147</c:v>
                </c:pt>
                <c:pt idx="26">
                  <c:v>100.00000071525574</c:v>
                </c:pt>
                <c:pt idx="27">
                  <c:v>100.00000035762787</c:v>
                </c:pt>
                <c:pt idx="28">
                  <c:v>100.00000017881393</c:v>
                </c:pt>
                <c:pt idx="29">
                  <c:v>100.00000008940697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9A-4733-9EE5-F34B6694F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16752"/>
        <c:axId val="324218720"/>
      </c:lineChart>
      <c:catAx>
        <c:axId val="324216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4218720"/>
        <c:crosses val="autoZero"/>
        <c:auto val="1"/>
        <c:lblAlgn val="ctr"/>
        <c:lblOffset val="100"/>
        <c:noMultiLvlLbl val="0"/>
      </c:catAx>
      <c:valAx>
        <c:axId val="32421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421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Negative_shock!$J$1</c:f>
              <c:strCache>
                <c:ptCount val="1"/>
                <c:pt idx="0">
                  <c:v>Pt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Negative_shock!$J$2:$J$31</c:f>
              <c:numCache>
                <c:formatCode>General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-1</c:v>
                </c:pt>
                <c:pt idx="5">
                  <c:v>0.5</c:v>
                </c:pt>
                <c:pt idx="6">
                  <c:v>1.25</c:v>
                </c:pt>
                <c:pt idx="7">
                  <c:v>1.625</c:v>
                </c:pt>
                <c:pt idx="8">
                  <c:v>1.8125</c:v>
                </c:pt>
                <c:pt idx="9">
                  <c:v>1.90625</c:v>
                </c:pt>
                <c:pt idx="10">
                  <c:v>1.953125</c:v>
                </c:pt>
                <c:pt idx="11">
                  <c:v>1.9765625</c:v>
                </c:pt>
                <c:pt idx="12">
                  <c:v>1.98828125</c:v>
                </c:pt>
                <c:pt idx="13">
                  <c:v>1.994140625</c:v>
                </c:pt>
                <c:pt idx="14">
                  <c:v>1.9970703125</c:v>
                </c:pt>
                <c:pt idx="15">
                  <c:v>1.99853515625</c:v>
                </c:pt>
                <c:pt idx="16">
                  <c:v>1.999267578125</c:v>
                </c:pt>
                <c:pt idx="17">
                  <c:v>1.9996337890625</c:v>
                </c:pt>
                <c:pt idx="18">
                  <c:v>1.99981689453125</c:v>
                </c:pt>
                <c:pt idx="19">
                  <c:v>1.999908447265625</c:v>
                </c:pt>
                <c:pt idx="20">
                  <c:v>1.9999542236328125</c:v>
                </c:pt>
                <c:pt idx="21">
                  <c:v>1.9999771118164063</c:v>
                </c:pt>
                <c:pt idx="22">
                  <c:v>1.9999885559082031</c:v>
                </c:pt>
                <c:pt idx="23">
                  <c:v>1.9999942779541016</c:v>
                </c:pt>
                <c:pt idx="24">
                  <c:v>1.9999971389770508</c:v>
                </c:pt>
                <c:pt idx="25">
                  <c:v>1.9999985694885254</c:v>
                </c:pt>
                <c:pt idx="26">
                  <c:v>1.9999992847442627</c:v>
                </c:pt>
                <c:pt idx="27">
                  <c:v>1.9999996423721313</c:v>
                </c:pt>
                <c:pt idx="28">
                  <c:v>1.9999998211860657</c:v>
                </c:pt>
                <c:pt idx="29">
                  <c:v>1.9999999105930328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27-411C-9513-534609DCB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20688"/>
        <c:axId val="324219376"/>
      </c:lineChart>
      <c:catAx>
        <c:axId val="324220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4219376"/>
        <c:crosses val="autoZero"/>
        <c:auto val="1"/>
        <c:lblAlgn val="ctr"/>
        <c:lblOffset val="100"/>
        <c:noMultiLvlLbl val="0"/>
      </c:catAx>
      <c:valAx>
        <c:axId val="32421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422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Negative_shock!$K$1</c:f>
              <c:strCache>
                <c:ptCount val="1"/>
                <c:pt idx="0">
                  <c:v>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Negative_shock!$K$2:$K$30</c:f>
              <c:numCache>
                <c:formatCode>General</c:formatCode>
                <c:ptCount val="2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1.75</c:v>
                </c:pt>
                <c:pt idx="5">
                  <c:v>2.125</c:v>
                </c:pt>
                <c:pt idx="6">
                  <c:v>2.3125</c:v>
                </c:pt>
                <c:pt idx="7">
                  <c:v>2.40625</c:v>
                </c:pt>
                <c:pt idx="8">
                  <c:v>2.453125</c:v>
                </c:pt>
                <c:pt idx="9">
                  <c:v>2.4765625</c:v>
                </c:pt>
                <c:pt idx="10">
                  <c:v>2.48828125</c:v>
                </c:pt>
                <c:pt idx="11">
                  <c:v>2.494140625</c:v>
                </c:pt>
                <c:pt idx="12">
                  <c:v>2.4970703125</c:v>
                </c:pt>
                <c:pt idx="13">
                  <c:v>2.49853515625</c:v>
                </c:pt>
                <c:pt idx="14">
                  <c:v>2.499267578125</c:v>
                </c:pt>
                <c:pt idx="15">
                  <c:v>2.4996337890625</c:v>
                </c:pt>
                <c:pt idx="16">
                  <c:v>2.49981689453125</c:v>
                </c:pt>
                <c:pt idx="17">
                  <c:v>2.499908447265625</c:v>
                </c:pt>
                <c:pt idx="18">
                  <c:v>2.4999542236328125</c:v>
                </c:pt>
                <c:pt idx="19">
                  <c:v>2.4999771118164063</c:v>
                </c:pt>
                <c:pt idx="20">
                  <c:v>2.4999885559082031</c:v>
                </c:pt>
                <c:pt idx="21">
                  <c:v>2.4999942779541016</c:v>
                </c:pt>
                <c:pt idx="22">
                  <c:v>2.4999971389770508</c:v>
                </c:pt>
                <c:pt idx="23">
                  <c:v>2.4999985694885254</c:v>
                </c:pt>
                <c:pt idx="24">
                  <c:v>2.4999992847442627</c:v>
                </c:pt>
                <c:pt idx="25">
                  <c:v>2.4999996423721313</c:v>
                </c:pt>
                <c:pt idx="26">
                  <c:v>2.4999998211860657</c:v>
                </c:pt>
                <c:pt idx="27">
                  <c:v>2.4999999105930328</c:v>
                </c:pt>
                <c:pt idx="28">
                  <c:v>2.4999999552965164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47-45B1-92D5-A5E305347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949776"/>
        <c:axId val="364949448"/>
      </c:lineChart>
      <c:catAx>
        <c:axId val="364949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4949448"/>
        <c:crosses val="autoZero"/>
        <c:auto val="1"/>
        <c:lblAlgn val="ctr"/>
        <c:lblOffset val="100"/>
        <c:noMultiLvlLbl val="0"/>
      </c:catAx>
      <c:valAx>
        <c:axId val="364949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494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Yield curve</c:v>
          </c:tx>
          <c:spPr>
            <a:ln w="2857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Negative_shock!$O$3:$S$3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20</c:v>
                </c:pt>
              </c:numCache>
            </c:numRef>
          </c:cat>
          <c:val>
            <c:numRef>
              <c:f>Negative_shock!$O$4:$S$4</c:f>
              <c:numCache>
                <c:formatCode>General</c:formatCode>
                <c:ptCount val="5"/>
                <c:pt idx="0">
                  <c:v>2.3125</c:v>
                </c:pt>
                <c:pt idx="1">
                  <c:v>3.26953</c:v>
                </c:pt>
                <c:pt idx="2">
                  <c:v>3.6682899999999998</c:v>
                </c:pt>
                <c:pt idx="3">
                  <c:v>3.8751500000000001</c:v>
                </c:pt>
                <c:pt idx="4">
                  <c:v>4.125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8B-4F8D-B72F-FDCC4F6AC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945735"/>
        <c:axId val="271947783"/>
      </c:lineChart>
      <c:catAx>
        <c:axId val="271945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to 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47783"/>
        <c:crosses val="autoZero"/>
        <c:auto val="1"/>
        <c:lblAlgn val="ctr"/>
        <c:lblOffset val="100"/>
        <c:noMultiLvlLbl val="0"/>
      </c:catAx>
      <c:valAx>
        <c:axId val="271947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45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19050</xdr:colOff>
      <xdr:row>0</xdr:row>
      <xdr:rowOff>90487</xdr:rowOff>
    </xdr:from>
    <xdr:to>
      <xdr:col>26</xdr:col>
      <xdr:colOff>19050</xdr:colOff>
      <xdr:row>14</xdr:row>
      <xdr:rowOff>87312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CCF2A0-E19B-417E-8361-01F9A2D0B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19050</xdr:colOff>
      <xdr:row>15</xdr:row>
      <xdr:rowOff>71437</xdr:rowOff>
    </xdr:from>
    <xdr:to>
      <xdr:col>26</xdr:col>
      <xdr:colOff>19050</xdr:colOff>
      <xdr:row>29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E11D2C9-5239-4681-B1A7-30F35A8E4471}"/>
            </a:ext>
            <a:ext uri="{147F2762-F138-4A5C-976F-8EAC2B608ADB}">
              <a16:predDERef xmlns:a16="http://schemas.microsoft.com/office/drawing/2014/main" pred="{A7CCF2A0-E19B-417E-8361-01F9A2D0B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758825</xdr:colOff>
      <xdr:row>30</xdr:row>
      <xdr:rowOff>100012</xdr:rowOff>
    </xdr:from>
    <xdr:to>
      <xdr:col>25</xdr:col>
      <xdr:colOff>758825</xdr:colOff>
      <xdr:row>44</xdr:row>
      <xdr:rowOff>176212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6158933-2023-4817-84E9-3399E79F459A}"/>
            </a:ext>
            <a:ext uri="{147F2762-F138-4A5C-976F-8EAC2B608ADB}">
              <a16:predDERef xmlns:a16="http://schemas.microsoft.com/office/drawing/2014/main" pred="{2E11D2C9-5239-4681-B1A7-30F35A8E4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142875</xdr:colOff>
      <xdr:row>8</xdr:row>
      <xdr:rowOff>76200</xdr:rowOff>
    </xdr:from>
    <xdr:to>
      <xdr:col>18</xdr:col>
      <xdr:colOff>333375</xdr:colOff>
      <xdr:row>23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E7FD364-AE5B-920E-45E3-3EAD976A7A18}"/>
            </a:ext>
            <a:ext uri="{147F2762-F138-4A5C-976F-8EAC2B608ADB}">
              <a16:predDERef xmlns:a16="http://schemas.microsoft.com/office/drawing/2014/main" pred="{06158933-2023-4817-84E9-3399E79F4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19050</xdr:colOff>
      <xdr:row>0</xdr:row>
      <xdr:rowOff>90487</xdr:rowOff>
    </xdr:from>
    <xdr:to>
      <xdr:col>26</xdr:col>
      <xdr:colOff>19050</xdr:colOff>
      <xdr:row>14</xdr:row>
      <xdr:rowOff>87312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486314-83A4-46B0-BC2F-38192AA3D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19050</xdr:colOff>
      <xdr:row>15</xdr:row>
      <xdr:rowOff>71437</xdr:rowOff>
    </xdr:from>
    <xdr:to>
      <xdr:col>26</xdr:col>
      <xdr:colOff>19050</xdr:colOff>
      <xdr:row>29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D4EA19-483D-47DB-832E-A80CA388EC9E}"/>
            </a:ext>
            <a:ext uri="{147F2762-F138-4A5C-976F-8EAC2B608ADB}">
              <a16:predDERef xmlns:a16="http://schemas.microsoft.com/office/drawing/2014/main" pred="{61486314-83A4-46B0-BC2F-38192AA3D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758825</xdr:colOff>
      <xdr:row>30</xdr:row>
      <xdr:rowOff>100012</xdr:rowOff>
    </xdr:from>
    <xdr:to>
      <xdr:col>25</xdr:col>
      <xdr:colOff>758825</xdr:colOff>
      <xdr:row>44</xdr:row>
      <xdr:rowOff>176212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9D470C-4082-4E8A-8926-DDE7CAD522F4}"/>
            </a:ext>
            <a:ext uri="{147F2762-F138-4A5C-976F-8EAC2B608ADB}">
              <a16:predDERef xmlns:a16="http://schemas.microsoft.com/office/drawing/2014/main" pred="{D5D4EA19-483D-47DB-832E-A80CA388E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1000125</xdr:colOff>
      <xdr:row>8</xdr:row>
      <xdr:rowOff>114300</xdr:rowOff>
    </xdr:from>
    <xdr:to>
      <xdr:col>19</xdr:col>
      <xdr:colOff>428625</xdr:colOff>
      <xdr:row>23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2FE7B70-7958-45FF-AA27-663E679B2E77}"/>
            </a:ext>
            <a:ext uri="{147F2762-F138-4A5C-976F-8EAC2B608ADB}">
              <a16:predDERef xmlns:a16="http://schemas.microsoft.com/office/drawing/2014/main" pred="{0B9D470C-4082-4E8A-8926-DDE7CAD52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F13A-B0A4-4F58-BAD3-FF354EA57E30}">
  <dimension ref="A1:S31"/>
  <sheetViews>
    <sheetView topLeftCell="B1" zoomScale="60" zoomScaleNormal="60" workbookViewId="0">
      <selection activeCell="C13" sqref="C13"/>
    </sheetView>
  </sheetViews>
  <sheetFormatPr defaultColWidth="11.42578125" defaultRowHeight="15"/>
  <cols>
    <col min="2" max="2" width="23.42578125" customWidth="1"/>
    <col min="9" max="9" width="15.28515625" customWidth="1"/>
    <col min="13" max="13" width="12.42578125" customWidth="1"/>
    <col min="14" max="14" width="22" customWidth="1"/>
  </cols>
  <sheetData>
    <row r="1" spans="1:19" ht="15.75">
      <c r="A1" s="4" t="s">
        <v>0</v>
      </c>
      <c r="B1" s="5" t="s">
        <v>1</v>
      </c>
      <c r="C1" s="5" t="s">
        <v>2</v>
      </c>
      <c r="D1" s="5" t="s">
        <v>3</v>
      </c>
      <c r="E1" s="6" t="s">
        <v>3</v>
      </c>
      <c r="F1" s="6" t="s">
        <v>4</v>
      </c>
      <c r="G1" s="10" t="s">
        <v>5</v>
      </c>
      <c r="H1" t="s">
        <v>6</v>
      </c>
      <c r="I1" t="s">
        <v>7</v>
      </c>
      <c r="J1" s="3" t="s">
        <v>8</v>
      </c>
      <c r="K1" t="s">
        <v>9</v>
      </c>
      <c r="L1" t="s">
        <v>10</v>
      </c>
    </row>
    <row r="2" spans="1:19">
      <c r="A2" s="1">
        <v>1</v>
      </c>
      <c r="B2">
        <v>100</v>
      </c>
      <c r="C2">
        <v>108</v>
      </c>
      <c r="D2">
        <v>2</v>
      </c>
      <c r="E2">
        <v>0.5</v>
      </c>
      <c r="F2">
        <v>2</v>
      </c>
      <c r="G2">
        <v>2</v>
      </c>
      <c r="H2">
        <f>(B2-C2)/-D2</f>
        <v>4</v>
      </c>
      <c r="I2">
        <v>100</v>
      </c>
      <c r="J2">
        <v>2</v>
      </c>
      <c r="K2">
        <f>H2 + ((E2*F2)/(D2*(1+E2^2*F2)))*(J2-G2)</f>
        <v>4</v>
      </c>
      <c r="L2">
        <f>K2+J2</f>
        <v>6</v>
      </c>
      <c r="N2" t="s">
        <v>11</v>
      </c>
    </row>
    <row r="3" spans="1:19">
      <c r="A3" s="2">
        <v>2</v>
      </c>
      <c r="B3">
        <v>100</v>
      </c>
      <c r="C3">
        <v>108</v>
      </c>
      <c r="D3">
        <v>2</v>
      </c>
      <c r="E3">
        <v>0.5</v>
      </c>
      <c r="F3">
        <v>2</v>
      </c>
      <c r="G3">
        <v>2</v>
      </c>
      <c r="H3">
        <f t="shared" ref="H3:H31" si="0">(B3-C3)/-D3</f>
        <v>4</v>
      </c>
      <c r="I3">
        <f>C3-D3*K2</f>
        <v>100</v>
      </c>
      <c r="J3">
        <f>J2+E3*(I3-B3)</f>
        <v>2</v>
      </c>
      <c r="K3">
        <f t="shared" ref="K3:K31" si="1">H3 + ((E3*F3)/(D3*(1+E3^2*F3)))*(J3-G3)</f>
        <v>4</v>
      </c>
      <c r="L3">
        <f t="shared" ref="L3:L31" si="2">K3+J3</f>
        <v>6</v>
      </c>
      <c r="N3" t="s">
        <v>12</v>
      </c>
      <c r="O3">
        <v>3</v>
      </c>
      <c r="P3">
        <v>6</v>
      </c>
      <c r="Q3">
        <v>9</v>
      </c>
      <c r="R3">
        <v>12</v>
      </c>
      <c r="S3">
        <v>20</v>
      </c>
    </row>
    <row r="4" spans="1:19">
      <c r="A4" s="2">
        <v>3</v>
      </c>
      <c r="B4">
        <v>100</v>
      </c>
      <c r="C4">
        <v>108</v>
      </c>
      <c r="D4">
        <v>2</v>
      </c>
      <c r="E4">
        <v>0.5</v>
      </c>
      <c r="F4">
        <v>2</v>
      </c>
      <c r="G4">
        <v>2</v>
      </c>
      <c r="H4">
        <f t="shared" si="0"/>
        <v>4</v>
      </c>
      <c r="I4">
        <f>C4-D4*K3</f>
        <v>100</v>
      </c>
      <c r="J4">
        <f t="shared" ref="J4:J31" si="3">J3+E4*(I4-B4)</f>
        <v>2</v>
      </c>
      <c r="K4">
        <f t="shared" si="1"/>
        <v>4</v>
      </c>
      <c r="L4">
        <f t="shared" si="2"/>
        <v>6</v>
      </c>
      <c r="N4" t="s">
        <v>13</v>
      </c>
      <c r="O4">
        <v>7.9382799999999998</v>
      </c>
      <c r="P4">
        <v>7.6081799999999999</v>
      </c>
      <c r="Q4">
        <v>7.4329400000000003</v>
      </c>
      <c r="R4">
        <v>7.3308299999999997</v>
      </c>
      <c r="S4">
        <v>7.2</v>
      </c>
    </row>
    <row r="5" spans="1:19">
      <c r="A5" s="2">
        <v>4</v>
      </c>
      <c r="B5">
        <v>100</v>
      </c>
      <c r="C5">
        <v>108</v>
      </c>
      <c r="D5">
        <v>2</v>
      </c>
      <c r="E5">
        <v>0.5</v>
      </c>
      <c r="F5">
        <v>2</v>
      </c>
      <c r="G5">
        <v>2</v>
      </c>
      <c r="H5">
        <f t="shared" si="0"/>
        <v>4</v>
      </c>
      <c r="I5">
        <f>C5-D5*K4</f>
        <v>100</v>
      </c>
      <c r="J5">
        <f t="shared" si="3"/>
        <v>2</v>
      </c>
      <c r="K5">
        <f t="shared" si="1"/>
        <v>4</v>
      </c>
      <c r="L5">
        <f t="shared" si="2"/>
        <v>6</v>
      </c>
    </row>
    <row r="6" spans="1:19">
      <c r="A6" s="7">
        <v>5</v>
      </c>
      <c r="B6" s="8">
        <v>100</v>
      </c>
      <c r="C6" s="9">
        <v>110</v>
      </c>
      <c r="D6" s="8">
        <v>2</v>
      </c>
      <c r="E6" s="8">
        <v>0.5</v>
      </c>
      <c r="F6" s="9">
        <v>2</v>
      </c>
      <c r="G6" s="8">
        <v>2</v>
      </c>
      <c r="H6">
        <f t="shared" si="0"/>
        <v>5</v>
      </c>
      <c r="I6">
        <v>102</v>
      </c>
      <c r="J6">
        <f t="shared" si="3"/>
        <v>3</v>
      </c>
      <c r="K6">
        <f t="shared" si="1"/>
        <v>5.333333333333333</v>
      </c>
      <c r="L6">
        <f t="shared" si="2"/>
        <v>8.3333333333333321</v>
      </c>
    </row>
    <row r="7" spans="1:19">
      <c r="A7" s="2">
        <v>6</v>
      </c>
      <c r="B7">
        <v>100</v>
      </c>
      <c r="C7">
        <v>110</v>
      </c>
      <c r="D7">
        <v>2</v>
      </c>
      <c r="E7">
        <v>0.5</v>
      </c>
      <c r="F7">
        <v>2</v>
      </c>
      <c r="G7">
        <v>2</v>
      </c>
      <c r="H7">
        <f t="shared" si="0"/>
        <v>5</v>
      </c>
      <c r="I7">
        <f>C7-D7*K6</f>
        <v>99.333333333333329</v>
      </c>
      <c r="J7">
        <f t="shared" si="3"/>
        <v>2.6666666666666643</v>
      </c>
      <c r="K7">
        <f t="shared" si="1"/>
        <v>5.2222222222222214</v>
      </c>
      <c r="L7">
        <f t="shared" si="2"/>
        <v>7.8888888888888857</v>
      </c>
    </row>
    <row r="8" spans="1:19">
      <c r="A8" s="2">
        <v>7</v>
      </c>
      <c r="B8">
        <v>100</v>
      </c>
      <c r="C8">
        <v>110</v>
      </c>
      <c r="D8">
        <v>2</v>
      </c>
      <c r="E8">
        <v>0.5</v>
      </c>
      <c r="F8">
        <v>2</v>
      </c>
      <c r="G8">
        <v>2</v>
      </c>
      <c r="H8">
        <f t="shared" si="0"/>
        <v>5</v>
      </c>
      <c r="I8">
        <f>C8-D8*K7</f>
        <v>99.555555555555557</v>
      </c>
      <c r="J8">
        <f t="shared" si="3"/>
        <v>2.4444444444444429</v>
      </c>
      <c r="K8">
        <f t="shared" si="1"/>
        <v>5.1481481481481479</v>
      </c>
      <c r="L8">
        <f t="shared" si="2"/>
        <v>7.5925925925925908</v>
      </c>
    </row>
    <row r="9" spans="1:19">
      <c r="A9" s="2">
        <v>8</v>
      </c>
      <c r="B9">
        <v>100</v>
      </c>
      <c r="C9">
        <v>110</v>
      </c>
      <c r="D9">
        <v>2</v>
      </c>
      <c r="E9">
        <v>0.5</v>
      </c>
      <c r="F9">
        <v>2</v>
      </c>
      <c r="G9">
        <v>2</v>
      </c>
      <c r="H9">
        <f t="shared" si="0"/>
        <v>5</v>
      </c>
      <c r="I9">
        <f>C9-D9*K8</f>
        <v>99.703703703703709</v>
      </c>
      <c r="J9">
        <f t="shared" si="3"/>
        <v>2.2962962962962976</v>
      </c>
      <c r="K9">
        <f t="shared" si="1"/>
        <v>5.0987654320987659</v>
      </c>
      <c r="L9">
        <f t="shared" si="2"/>
        <v>7.3950617283950635</v>
      </c>
    </row>
    <row r="10" spans="1:19">
      <c r="A10" s="2">
        <v>9</v>
      </c>
      <c r="B10">
        <v>100</v>
      </c>
      <c r="C10">
        <v>110</v>
      </c>
      <c r="D10">
        <v>2</v>
      </c>
      <c r="E10">
        <v>0.5</v>
      </c>
      <c r="F10">
        <v>2</v>
      </c>
      <c r="G10">
        <v>2</v>
      </c>
      <c r="H10">
        <f t="shared" si="0"/>
        <v>5</v>
      </c>
      <c r="I10">
        <f>C10-D10*K9</f>
        <v>99.802469135802468</v>
      </c>
      <c r="J10">
        <f t="shared" si="3"/>
        <v>2.1975308641975317</v>
      </c>
      <c r="K10">
        <f t="shared" si="1"/>
        <v>5.0658436213991775</v>
      </c>
      <c r="L10">
        <f t="shared" si="2"/>
        <v>7.2633744855967093</v>
      </c>
    </row>
    <row r="11" spans="1:19">
      <c r="A11" s="2">
        <v>10</v>
      </c>
      <c r="B11">
        <v>100</v>
      </c>
      <c r="C11">
        <v>110</v>
      </c>
      <c r="D11">
        <v>2</v>
      </c>
      <c r="E11">
        <v>0.5</v>
      </c>
      <c r="F11">
        <v>2</v>
      </c>
      <c r="G11">
        <v>2</v>
      </c>
      <c r="H11">
        <f t="shared" si="0"/>
        <v>5</v>
      </c>
      <c r="I11">
        <f>C11-D11*K10</f>
        <v>99.86831275720165</v>
      </c>
      <c r="J11">
        <f t="shared" si="3"/>
        <v>2.1316872427983569</v>
      </c>
      <c r="K11">
        <f t="shared" si="1"/>
        <v>5.0438957475994526</v>
      </c>
      <c r="L11">
        <f t="shared" si="2"/>
        <v>7.1755829903978094</v>
      </c>
    </row>
    <row r="12" spans="1:19">
      <c r="A12" s="2">
        <v>11</v>
      </c>
      <c r="B12">
        <v>100</v>
      </c>
      <c r="C12">
        <v>110</v>
      </c>
      <c r="D12">
        <v>2</v>
      </c>
      <c r="E12">
        <v>0.5</v>
      </c>
      <c r="F12">
        <v>2</v>
      </c>
      <c r="G12">
        <v>2</v>
      </c>
      <c r="H12">
        <f t="shared" si="0"/>
        <v>5</v>
      </c>
      <c r="I12">
        <f>C12-D12*K11</f>
        <v>99.9122085048011</v>
      </c>
      <c r="J12">
        <f t="shared" si="3"/>
        <v>2.0877914951989069</v>
      </c>
      <c r="K12">
        <f t="shared" si="1"/>
        <v>5.029263831732969</v>
      </c>
      <c r="L12">
        <f t="shared" si="2"/>
        <v>7.1170553269318759</v>
      </c>
    </row>
    <row r="13" spans="1:19">
      <c r="A13" s="2">
        <v>12</v>
      </c>
      <c r="B13">
        <v>100</v>
      </c>
      <c r="C13">
        <v>110</v>
      </c>
      <c r="D13">
        <v>2</v>
      </c>
      <c r="E13">
        <v>0.5</v>
      </c>
      <c r="F13">
        <v>2</v>
      </c>
      <c r="G13">
        <v>2</v>
      </c>
      <c r="H13">
        <f t="shared" si="0"/>
        <v>5</v>
      </c>
      <c r="I13">
        <f>C13-D13*K12</f>
        <v>99.941472336534062</v>
      </c>
      <c r="J13">
        <f t="shared" si="3"/>
        <v>2.058527663465938</v>
      </c>
      <c r="K13">
        <f t="shared" si="1"/>
        <v>5.019509221155313</v>
      </c>
      <c r="L13">
        <f t="shared" si="2"/>
        <v>7.0780368846212509</v>
      </c>
    </row>
    <row r="14" spans="1:19">
      <c r="A14" s="2">
        <v>13</v>
      </c>
      <c r="B14">
        <v>100</v>
      </c>
      <c r="C14">
        <v>110</v>
      </c>
      <c r="D14">
        <v>2</v>
      </c>
      <c r="E14">
        <v>0.5</v>
      </c>
      <c r="F14">
        <v>2</v>
      </c>
      <c r="G14">
        <v>2</v>
      </c>
      <c r="H14">
        <f t="shared" si="0"/>
        <v>5</v>
      </c>
      <c r="I14">
        <f>C14-D14*K13</f>
        <v>99.960981557689379</v>
      </c>
      <c r="J14">
        <f t="shared" si="3"/>
        <v>2.0390184423106277</v>
      </c>
      <c r="K14">
        <f t="shared" si="1"/>
        <v>5.0130061474368759</v>
      </c>
      <c r="L14">
        <f t="shared" si="2"/>
        <v>7.0520245897475036</v>
      </c>
    </row>
    <row r="15" spans="1:19">
      <c r="A15" s="2">
        <v>14</v>
      </c>
      <c r="B15">
        <v>100</v>
      </c>
      <c r="C15">
        <v>110</v>
      </c>
      <c r="D15">
        <v>2</v>
      </c>
      <c r="E15">
        <v>0.5</v>
      </c>
      <c r="F15">
        <v>2</v>
      </c>
      <c r="G15">
        <v>2</v>
      </c>
      <c r="H15">
        <f t="shared" si="0"/>
        <v>5</v>
      </c>
      <c r="I15">
        <f>C15-D15*K14</f>
        <v>99.973987705126248</v>
      </c>
      <c r="J15">
        <f t="shared" si="3"/>
        <v>2.0260122948737518</v>
      </c>
      <c r="K15">
        <f t="shared" si="1"/>
        <v>5.008670764957917</v>
      </c>
      <c r="L15">
        <f t="shared" si="2"/>
        <v>7.0346830598316687</v>
      </c>
    </row>
    <row r="16" spans="1:19">
      <c r="A16" s="2">
        <v>15</v>
      </c>
      <c r="B16">
        <v>100</v>
      </c>
      <c r="C16">
        <v>110</v>
      </c>
      <c r="D16">
        <v>2</v>
      </c>
      <c r="E16">
        <v>0.5</v>
      </c>
      <c r="F16">
        <v>2</v>
      </c>
      <c r="G16">
        <v>2</v>
      </c>
      <c r="H16">
        <f t="shared" si="0"/>
        <v>5</v>
      </c>
      <c r="I16">
        <f>C16-D16*K15</f>
        <v>99.982658470084161</v>
      </c>
      <c r="J16">
        <f t="shared" si="3"/>
        <v>2.0173415299158322</v>
      </c>
      <c r="K16">
        <f t="shared" si="1"/>
        <v>5.0057805099719443</v>
      </c>
      <c r="L16">
        <f t="shared" si="2"/>
        <v>7.0231220398877765</v>
      </c>
    </row>
    <row r="17" spans="1:12">
      <c r="A17" s="2">
        <v>16</v>
      </c>
      <c r="B17">
        <v>100</v>
      </c>
      <c r="C17">
        <v>110</v>
      </c>
      <c r="D17">
        <v>2</v>
      </c>
      <c r="E17">
        <v>0.5</v>
      </c>
      <c r="F17">
        <v>2</v>
      </c>
      <c r="G17">
        <v>2</v>
      </c>
      <c r="H17">
        <f t="shared" si="0"/>
        <v>5</v>
      </c>
      <c r="I17">
        <f>C17-D17*K16</f>
        <v>99.988438980056117</v>
      </c>
      <c r="J17">
        <f t="shared" si="3"/>
        <v>2.0115610199438905</v>
      </c>
      <c r="K17">
        <f t="shared" si="1"/>
        <v>5.0038536733146302</v>
      </c>
      <c r="L17">
        <f t="shared" si="2"/>
        <v>7.0154146932585206</v>
      </c>
    </row>
    <row r="18" spans="1:12">
      <c r="A18" s="2">
        <v>17</v>
      </c>
      <c r="B18">
        <v>100</v>
      </c>
      <c r="C18">
        <v>110</v>
      </c>
      <c r="D18">
        <v>2</v>
      </c>
      <c r="E18">
        <v>0.5</v>
      </c>
      <c r="F18">
        <v>2</v>
      </c>
      <c r="G18">
        <v>2</v>
      </c>
      <c r="H18">
        <f t="shared" si="0"/>
        <v>5</v>
      </c>
      <c r="I18">
        <f>C18-D18*K17</f>
        <v>99.99229265337074</v>
      </c>
      <c r="J18">
        <f t="shared" si="3"/>
        <v>2.0077073466292603</v>
      </c>
      <c r="K18">
        <f t="shared" si="1"/>
        <v>5.0025691155430865</v>
      </c>
      <c r="L18">
        <f t="shared" si="2"/>
        <v>7.0102764621723468</v>
      </c>
    </row>
    <row r="19" spans="1:12">
      <c r="A19" s="2">
        <v>18</v>
      </c>
      <c r="B19">
        <v>100</v>
      </c>
      <c r="C19">
        <v>110</v>
      </c>
      <c r="D19">
        <v>2</v>
      </c>
      <c r="E19">
        <v>0.5</v>
      </c>
      <c r="F19">
        <v>2</v>
      </c>
      <c r="G19">
        <v>2</v>
      </c>
      <c r="H19">
        <f t="shared" si="0"/>
        <v>5</v>
      </c>
      <c r="I19">
        <f>C19-D19*K18</f>
        <v>99.994861768913822</v>
      </c>
      <c r="J19">
        <f t="shared" si="3"/>
        <v>2.0051382310861712</v>
      </c>
      <c r="K19">
        <f t="shared" si="1"/>
        <v>5.0017127436953901</v>
      </c>
      <c r="L19">
        <f t="shared" si="2"/>
        <v>7.0068509747815613</v>
      </c>
    </row>
    <row r="20" spans="1:12">
      <c r="A20" s="2">
        <v>19</v>
      </c>
      <c r="B20">
        <v>100</v>
      </c>
      <c r="C20">
        <v>110</v>
      </c>
      <c r="D20">
        <v>2</v>
      </c>
      <c r="E20">
        <v>0.5</v>
      </c>
      <c r="F20">
        <v>2</v>
      </c>
      <c r="G20">
        <v>2</v>
      </c>
      <c r="H20">
        <f t="shared" si="0"/>
        <v>5</v>
      </c>
      <c r="I20">
        <f>C20-D20*K19</f>
        <v>99.996574512609214</v>
      </c>
      <c r="J20">
        <f t="shared" si="3"/>
        <v>2.0034254873907784</v>
      </c>
      <c r="K20">
        <f t="shared" si="1"/>
        <v>5.0011418291302592</v>
      </c>
      <c r="L20">
        <f t="shared" si="2"/>
        <v>7.0045673165210376</v>
      </c>
    </row>
    <row r="21" spans="1:12">
      <c r="A21" s="2">
        <v>20</v>
      </c>
      <c r="B21">
        <v>100</v>
      </c>
      <c r="C21">
        <v>110</v>
      </c>
      <c r="D21">
        <v>2</v>
      </c>
      <c r="E21">
        <v>0.5</v>
      </c>
      <c r="F21">
        <v>2</v>
      </c>
      <c r="G21">
        <v>2</v>
      </c>
      <c r="H21">
        <f t="shared" si="0"/>
        <v>5</v>
      </c>
      <c r="I21">
        <f>C21-D21*K20</f>
        <v>99.997716341739476</v>
      </c>
      <c r="J21">
        <f t="shared" si="3"/>
        <v>2.0022836582605166</v>
      </c>
      <c r="K21">
        <f t="shared" si="1"/>
        <v>5.0007612194201725</v>
      </c>
      <c r="L21">
        <f t="shared" si="2"/>
        <v>7.0030448776806891</v>
      </c>
    </row>
    <row r="22" spans="1:12">
      <c r="A22" s="2">
        <v>21</v>
      </c>
      <c r="B22">
        <v>100</v>
      </c>
      <c r="C22">
        <v>110</v>
      </c>
      <c r="D22">
        <v>2</v>
      </c>
      <c r="E22">
        <v>0.5</v>
      </c>
      <c r="F22">
        <v>2</v>
      </c>
      <c r="G22">
        <v>2</v>
      </c>
      <c r="H22">
        <f t="shared" si="0"/>
        <v>5</v>
      </c>
      <c r="I22">
        <f>C22-D22*K21</f>
        <v>99.99847756115966</v>
      </c>
      <c r="J22">
        <f t="shared" si="3"/>
        <v>2.0015224388403468</v>
      </c>
      <c r="K22">
        <f t="shared" si="1"/>
        <v>5.0005074796134492</v>
      </c>
      <c r="L22">
        <f t="shared" si="2"/>
        <v>7.002029918453796</v>
      </c>
    </row>
    <row r="23" spans="1:12">
      <c r="A23" s="2">
        <v>22</v>
      </c>
      <c r="B23">
        <v>100</v>
      </c>
      <c r="C23">
        <v>110</v>
      </c>
      <c r="D23">
        <v>2</v>
      </c>
      <c r="E23">
        <v>0.5</v>
      </c>
      <c r="F23">
        <v>2</v>
      </c>
      <c r="G23">
        <v>2</v>
      </c>
      <c r="H23">
        <f t="shared" si="0"/>
        <v>5</v>
      </c>
      <c r="I23">
        <f>C23-D23*K22</f>
        <v>99.998985040773107</v>
      </c>
      <c r="J23">
        <f t="shared" si="3"/>
        <v>2.0010149592269002</v>
      </c>
      <c r="K23">
        <f t="shared" si="1"/>
        <v>5.0003383197423004</v>
      </c>
      <c r="L23">
        <f t="shared" si="2"/>
        <v>7.0013532789692006</v>
      </c>
    </row>
    <row r="24" spans="1:12">
      <c r="A24" s="2">
        <v>23</v>
      </c>
      <c r="B24">
        <v>100</v>
      </c>
      <c r="C24">
        <v>110</v>
      </c>
      <c r="D24">
        <v>2</v>
      </c>
      <c r="E24">
        <v>0.5</v>
      </c>
      <c r="F24">
        <v>2</v>
      </c>
      <c r="G24">
        <v>2</v>
      </c>
      <c r="H24">
        <f t="shared" si="0"/>
        <v>5</v>
      </c>
      <c r="I24">
        <f>C24-D24*K23</f>
        <v>99.999323360515405</v>
      </c>
      <c r="J24">
        <f t="shared" si="3"/>
        <v>2.0006766394846025</v>
      </c>
      <c r="K24">
        <f t="shared" si="1"/>
        <v>5.0002255464948675</v>
      </c>
      <c r="L24">
        <f t="shared" si="2"/>
        <v>7.00090218597947</v>
      </c>
    </row>
    <row r="25" spans="1:12">
      <c r="A25" s="2">
        <v>24</v>
      </c>
      <c r="B25">
        <v>100</v>
      </c>
      <c r="C25">
        <v>110</v>
      </c>
      <c r="D25">
        <v>2</v>
      </c>
      <c r="E25">
        <v>0.5</v>
      </c>
      <c r="F25">
        <v>2</v>
      </c>
      <c r="G25">
        <v>2</v>
      </c>
      <c r="H25">
        <f t="shared" si="0"/>
        <v>5</v>
      </c>
      <c r="I25">
        <f>C25-D25*K24</f>
        <v>99.999548907010265</v>
      </c>
      <c r="J25">
        <f t="shared" si="3"/>
        <v>2.000451092989735</v>
      </c>
      <c r="K25">
        <f t="shared" si="1"/>
        <v>5.0001503643299117</v>
      </c>
      <c r="L25">
        <f t="shared" si="2"/>
        <v>7.0006014573196467</v>
      </c>
    </row>
    <row r="26" spans="1:12">
      <c r="A26" s="2">
        <v>25</v>
      </c>
      <c r="B26">
        <v>100</v>
      </c>
      <c r="C26">
        <v>110</v>
      </c>
      <c r="D26">
        <v>2</v>
      </c>
      <c r="E26">
        <v>0.5</v>
      </c>
      <c r="F26">
        <v>2</v>
      </c>
      <c r="G26">
        <v>2</v>
      </c>
      <c r="H26">
        <f t="shared" si="0"/>
        <v>5</v>
      </c>
      <c r="I26">
        <f>C26-D26*K25</f>
        <v>99.999699271340177</v>
      </c>
      <c r="J26">
        <f t="shared" si="3"/>
        <v>2.0003007286598233</v>
      </c>
      <c r="K26">
        <f t="shared" si="1"/>
        <v>5.0001002428866075</v>
      </c>
      <c r="L26">
        <f t="shared" si="2"/>
        <v>7.0004009715464308</v>
      </c>
    </row>
    <row r="27" spans="1:12">
      <c r="A27" s="2">
        <v>26</v>
      </c>
      <c r="B27">
        <v>100</v>
      </c>
      <c r="C27">
        <v>110</v>
      </c>
      <c r="D27">
        <v>2</v>
      </c>
      <c r="E27">
        <v>0.5</v>
      </c>
      <c r="F27">
        <v>2</v>
      </c>
      <c r="G27">
        <v>2</v>
      </c>
      <c r="H27">
        <f t="shared" si="0"/>
        <v>5</v>
      </c>
      <c r="I27">
        <f>C27-D27*K26</f>
        <v>99.99979951422678</v>
      </c>
      <c r="J27">
        <f t="shared" si="3"/>
        <v>2.0002004857732132</v>
      </c>
      <c r="K27">
        <f t="shared" si="1"/>
        <v>5.0000668285910708</v>
      </c>
      <c r="L27">
        <f t="shared" si="2"/>
        <v>7.000267314364284</v>
      </c>
    </row>
    <row r="28" spans="1:12">
      <c r="A28" s="2">
        <v>27</v>
      </c>
      <c r="B28">
        <v>100</v>
      </c>
      <c r="C28">
        <v>110</v>
      </c>
      <c r="D28">
        <v>2</v>
      </c>
      <c r="E28">
        <v>0.5</v>
      </c>
      <c r="F28">
        <v>2</v>
      </c>
      <c r="G28">
        <v>2</v>
      </c>
      <c r="H28">
        <f t="shared" si="0"/>
        <v>5</v>
      </c>
      <c r="I28">
        <f>C28-D28*K27</f>
        <v>99.999866342817853</v>
      </c>
      <c r="J28">
        <f t="shared" si="3"/>
        <v>2.0001336571821398</v>
      </c>
      <c r="K28">
        <f t="shared" si="1"/>
        <v>5.0000445523940469</v>
      </c>
      <c r="L28">
        <f t="shared" si="2"/>
        <v>7.0001782095761866</v>
      </c>
    </row>
    <row r="29" spans="1:12">
      <c r="A29" s="2">
        <v>28</v>
      </c>
      <c r="B29">
        <v>100</v>
      </c>
      <c r="C29">
        <v>110</v>
      </c>
      <c r="D29">
        <v>2</v>
      </c>
      <c r="E29">
        <v>0.5</v>
      </c>
      <c r="F29">
        <v>2</v>
      </c>
      <c r="G29">
        <v>2</v>
      </c>
      <c r="H29">
        <f t="shared" si="0"/>
        <v>5</v>
      </c>
      <c r="I29">
        <f>C29-D29*K28</f>
        <v>99.999910895211912</v>
      </c>
      <c r="J29">
        <f t="shared" si="3"/>
        <v>2.0000891047880955</v>
      </c>
      <c r="K29">
        <f t="shared" si="1"/>
        <v>5.0000297015960316</v>
      </c>
      <c r="L29">
        <f t="shared" si="2"/>
        <v>7.0001188063841271</v>
      </c>
    </row>
    <row r="30" spans="1:12">
      <c r="A30" s="2">
        <v>29</v>
      </c>
      <c r="B30">
        <v>100</v>
      </c>
      <c r="C30">
        <v>110</v>
      </c>
      <c r="D30">
        <v>2</v>
      </c>
      <c r="E30">
        <v>0.5</v>
      </c>
      <c r="F30">
        <v>2</v>
      </c>
      <c r="G30">
        <v>2</v>
      </c>
      <c r="H30">
        <f t="shared" si="0"/>
        <v>5</v>
      </c>
      <c r="I30">
        <f>C30-D30*K29</f>
        <v>99.999940596807932</v>
      </c>
      <c r="J30">
        <f t="shared" si="3"/>
        <v>2.0000594031920613</v>
      </c>
      <c r="K30">
        <f t="shared" si="1"/>
        <v>5.0000198010640204</v>
      </c>
      <c r="L30">
        <f t="shared" si="2"/>
        <v>7.0000792042560818</v>
      </c>
    </row>
    <row r="31" spans="1:12">
      <c r="A31" s="2">
        <v>30</v>
      </c>
      <c r="B31">
        <v>100</v>
      </c>
      <c r="C31">
        <v>110</v>
      </c>
      <c r="D31">
        <v>2</v>
      </c>
      <c r="E31">
        <v>0.5</v>
      </c>
      <c r="F31">
        <v>2</v>
      </c>
      <c r="G31">
        <v>2</v>
      </c>
      <c r="H31">
        <f t="shared" si="0"/>
        <v>5</v>
      </c>
      <c r="I31">
        <f>C31-D31*K30</f>
        <v>99.999960397871959</v>
      </c>
      <c r="J31">
        <f t="shared" si="3"/>
        <v>2.0000396021280409</v>
      </c>
      <c r="K31">
        <f t="shared" si="1"/>
        <v>5.000013200709347</v>
      </c>
      <c r="L31">
        <f t="shared" si="2"/>
        <v>7.0000528028373878</v>
      </c>
    </row>
  </sheetData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524E-FF23-4C02-A237-0538D0B3DC19}">
  <dimension ref="A1:S31"/>
  <sheetViews>
    <sheetView tabSelected="1" zoomScale="60" zoomScaleNormal="60" workbookViewId="0">
      <selection activeCell="E6" sqref="E6"/>
    </sheetView>
  </sheetViews>
  <sheetFormatPr defaultColWidth="11.42578125" defaultRowHeight="15"/>
  <cols>
    <col min="2" max="2" width="23.42578125" customWidth="1"/>
    <col min="3" max="8" width="9.140625"/>
    <col min="9" max="9" width="15.28515625" customWidth="1"/>
    <col min="10" max="12" width="9.140625"/>
    <col min="13" max="13" width="12.42578125" customWidth="1"/>
    <col min="14" max="14" width="22" customWidth="1"/>
  </cols>
  <sheetData>
    <row r="1" spans="1:19" ht="15.75">
      <c r="A1" s="4" t="s">
        <v>0</v>
      </c>
      <c r="B1" s="5" t="s">
        <v>1</v>
      </c>
      <c r="C1" s="5" t="s">
        <v>2</v>
      </c>
      <c r="D1" s="5" t="s">
        <v>3</v>
      </c>
      <c r="E1" s="6" t="s">
        <v>3</v>
      </c>
      <c r="F1" s="6" t="s">
        <v>4</v>
      </c>
      <c r="G1" s="10" t="s">
        <v>5</v>
      </c>
      <c r="H1" t="s">
        <v>6</v>
      </c>
      <c r="I1" t="s">
        <v>7</v>
      </c>
      <c r="J1" s="3" t="s">
        <v>8</v>
      </c>
      <c r="K1" t="s">
        <v>9</v>
      </c>
      <c r="L1" t="s">
        <v>10</v>
      </c>
    </row>
    <row r="2" spans="1:19">
      <c r="A2" s="1">
        <v>1</v>
      </c>
      <c r="B2">
        <v>100</v>
      </c>
      <c r="C2">
        <v>108</v>
      </c>
      <c r="D2">
        <v>2</v>
      </c>
      <c r="E2">
        <v>1</v>
      </c>
      <c r="F2">
        <v>1</v>
      </c>
      <c r="G2">
        <v>2</v>
      </c>
      <c r="H2">
        <f>(B2-C2)/-D2</f>
        <v>4</v>
      </c>
      <c r="I2">
        <v>100</v>
      </c>
      <c r="J2">
        <v>2</v>
      </c>
      <c r="K2">
        <f>H2 + ((E2*F2)/(D2*(1+E2^2*F2)))*(J2-G2)</f>
        <v>4</v>
      </c>
      <c r="L2">
        <f>K2+J2</f>
        <v>6</v>
      </c>
      <c r="N2" t="s">
        <v>11</v>
      </c>
    </row>
    <row r="3" spans="1:19">
      <c r="A3" s="2">
        <v>2</v>
      </c>
      <c r="B3">
        <v>100</v>
      </c>
      <c r="C3">
        <v>108</v>
      </c>
      <c r="D3">
        <v>2</v>
      </c>
      <c r="E3">
        <v>1</v>
      </c>
      <c r="F3">
        <v>1</v>
      </c>
      <c r="G3">
        <v>2</v>
      </c>
      <c r="H3">
        <f t="shared" ref="H3:H31" si="0">(B3-C3)/-D3</f>
        <v>4</v>
      </c>
      <c r="I3">
        <f>C3-D3*K2</f>
        <v>100</v>
      </c>
      <c r="J3">
        <f>J2+E3*(I3-B3)</f>
        <v>2</v>
      </c>
      <c r="K3">
        <f t="shared" ref="K3:K31" si="1">H3 + ((E3*F3)/(D3*(1+E3^2*F3)))*(J3-G3)</f>
        <v>4</v>
      </c>
      <c r="L3">
        <f t="shared" ref="L3:L31" si="2">K3+J3</f>
        <v>6</v>
      </c>
      <c r="N3" t="s">
        <v>12</v>
      </c>
      <c r="O3">
        <v>3</v>
      </c>
      <c r="P3">
        <v>6</v>
      </c>
      <c r="Q3">
        <v>9</v>
      </c>
      <c r="R3">
        <v>12</v>
      </c>
      <c r="S3">
        <v>20</v>
      </c>
    </row>
    <row r="4" spans="1:19">
      <c r="A4" s="2">
        <v>3</v>
      </c>
      <c r="B4">
        <v>100</v>
      </c>
      <c r="C4">
        <v>108</v>
      </c>
      <c r="D4">
        <v>2</v>
      </c>
      <c r="E4">
        <v>1</v>
      </c>
      <c r="F4">
        <v>1</v>
      </c>
      <c r="G4">
        <v>2</v>
      </c>
      <c r="H4">
        <f t="shared" si="0"/>
        <v>4</v>
      </c>
      <c r="I4">
        <f>C4-D4*K3</f>
        <v>100</v>
      </c>
      <c r="J4">
        <f t="shared" ref="J4:J31" si="3">J3+E4*(I4-B4)</f>
        <v>2</v>
      </c>
      <c r="K4">
        <f t="shared" si="1"/>
        <v>4</v>
      </c>
      <c r="L4">
        <f t="shared" si="2"/>
        <v>6</v>
      </c>
      <c r="N4" t="s">
        <v>13</v>
      </c>
      <c r="O4">
        <v>2.3125</v>
      </c>
      <c r="P4">
        <v>3.26953</v>
      </c>
      <c r="Q4">
        <v>3.6682899999999998</v>
      </c>
      <c r="R4">
        <v>3.8751500000000001</v>
      </c>
      <c r="S4">
        <v>4.125</v>
      </c>
    </row>
    <row r="5" spans="1:19">
      <c r="A5" s="2">
        <v>4</v>
      </c>
      <c r="B5">
        <v>100</v>
      </c>
      <c r="C5">
        <v>108</v>
      </c>
      <c r="D5">
        <v>2</v>
      </c>
      <c r="E5">
        <v>1</v>
      </c>
      <c r="F5">
        <v>1</v>
      </c>
      <c r="G5">
        <v>2</v>
      </c>
      <c r="H5">
        <f t="shared" si="0"/>
        <v>4</v>
      </c>
      <c r="I5">
        <f>C5-D5*K4</f>
        <v>100</v>
      </c>
      <c r="J5">
        <f t="shared" si="3"/>
        <v>2</v>
      </c>
      <c r="K5">
        <f t="shared" si="1"/>
        <v>4</v>
      </c>
      <c r="L5">
        <f t="shared" si="2"/>
        <v>6</v>
      </c>
    </row>
    <row r="6" spans="1:19">
      <c r="A6" s="7">
        <v>5</v>
      </c>
      <c r="B6" s="8">
        <v>100</v>
      </c>
      <c r="C6" s="9">
        <v>105</v>
      </c>
      <c r="D6" s="8">
        <v>2</v>
      </c>
      <c r="E6" s="8">
        <v>1</v>
      </c>
      <c r="F6" s="8">
        <v>1</v>
      </c>
      <c r="G6" s="8">
        <v>2</v>
      </c>
      <c r="H6">
        <f t="shared" si="0"/>
        <v>2.5</v>
      </c>
      <c r="I6">
        <f>C6-D6*K5</f>
        <v>97</v>
      </c>
      <c r="J6">
        <f t="shared" si="3"/>
        <v>-1</v>
      </c>
      <c r="K6">
        <f t="shared" si="1"/>
        <v>1.75</v>
      </c>
      <c r="L6">
        <f t="shared" si="2"/>
        <v>0.75</v>
      </c>
    </row>
    <row r="7" spans="1:19">
      <c r="A7" s="2">
        <v>6</v>
      </c>
      <c r="B7">
        <v>100</v>
      </c>
      <c r="C7" s="11">
        <v>105</v>
      </c>
      <c r="D7">
        <v>2</v>
      </c>
      <c r="E7">
        <v>1</v>
      </c>
      <c r="F7">
        <v>1</v>
      </c>
      <c r="G7">
        <v>2</v>
      </c>
      <c r="H7">
        <f t="shared" si="0"/>
        <v>2.5</v>
      </c>
      <c r="I7">
        <f>C7-D7*K6</f>
        <v>101.5</v>
      </c>
      <c r="J7">
        <f t="shared" si="3"/>
        <v>0.5</v>
      </c>
      <c r="K7">
        <f t="shared" si="1"/>
        <v>2.125</v>
      </c>
      <c r="L7">
        <f t="shared" si="2"/>
        <v>2.625</v>
      </c>
    </row>
    <row r="8" spans="1:19">
      <c r="A8" s="2">
        <v>7</v>
      </c>
      <c r="B8">
        <v>100</v>
      </c>
      <c r="C8" s="11">
        <v>105</v>
      </c>
      <c r="D8">
        <v>2</v>
      </c>
      <c r="E8">
        <v>1</v>
      </c>
      <c r="F8">
        <v>1</v>
      </c>
      <c r="G8">
        <v>2</v>
      </c>
      <c r="H8">
        <f t="shared" si="0"/>
        <v>2.5</v>
      </c>
      <c r="I8">
        <f>C8-D8*K7</f>
        <v>100.75</v>
      </c>
      <c r="J8">
        <f t="shared" si="3"/>
        <v>1.25</v>
      </c>
      <c r="K8">
        <f t="shared" si="1"/>
        <v>2.3125</v>
      </c>
      <c r="L8">
        <f t="shared" si="2"/>
        <v>3.5625</v>
      </c>
    </row>
    <row r="9" spans="1:19">
      <c r="A9" s="2">
        <v>8</v>
      </c>
      <c r="B9">
        <v>100</v>
      </c>
      <c r="C9" s="11">
        <v>105</v>
      </c>
      <c r="D9">
        <v>2</v>
      </c>
      <c r="E9">
        <v>1</v>
      </c>
      <c r="F9">
        <v>1</v>
      </c>
      <c r="G9">
        <v>2</v>
      </c>
      <c r="H9">
        <f t="shared" si="0"/>
        <v>2.5</v>
      </c>
      <c r="I9">
        <f>C9-D9*K8</f>
        <v>100.375</v>
      </c>
      <c r="J9">
        <f t="shared" si="3"/>
        <v>1.625</v>
      </c>
      <c r="K9">
        <f t="shared" si="1"/>
        <v>2.40625</v>
      </c>
      <c r="L9">
        <f t="shared" si="2"/>
        <v>4.03125</v>
      </c>
    </row>
    <row r="10" spans="1:19">
      <c r="A10" s="2">
        <v>9</v>
      </c>
      <c r="B10">
        <v>100</v>
      </c>
      <c r="C10" s="11">
        <v>105</v>
      </c>
      <c r="D10">
        <v>2</v>
      </c>
      <c r="E10">
        <v>1</v>
      </c>
      <c r="F10">
        <v>1</v>
      </c>
      <c r="G10">
        <v>2</v>
      </c>
      <c r="H10">
        <f t="shared" si="0"/>
        <v>2.5</v>
      </c>
      <c r="I10">
        <f>C10-D10*K9</f>
        <v>100.1875</v>
      </c>
      <c r="J10">
        <f t="shared" si="3"/>
        <v>1.8125</v>
      </c>
      <c r="K10">
        <f t="shared" si="1"/>
        <v>2.453125</v>
      </c>
      <c r="L10">
        <f t="shared" si="2"/>
        <v>4.265625</v>
      </c>
    </row>
    <row r="11" spans="1:19">
      <c r="A11" s="2">
        <v>10</v>
      </c>
      <c r="B11">
        <v>100</v>
      </c>
      <c r="C11" s="11">
        <v>105</v>
      </c>
      <c r="D11">
        <v>2</v>
      </c>
      <c r="E11">
        <v>1</v>
      </c>
      <c r="F11">
        <v>1</v>
      </c>
      <c r="G11">
        <v>2</v>
      </c>
      <c r="H11">
        <f t="shared" si="0"/>
        <v>2.5</v>
      </c>
      <c r="I11">
        <f>C11-D11*K10</f>
        <v>100.09375</v>
      </c>
      <c r="J11">
        <f t="shared" si="3"/>
        <v>1.90625</v>
      </c>
      <c r="K11">
        <f t="shared" si="1"/>
        <v>2.4765625</v>
      </c>
      <c r="L11">
        <f t="shared" si="2"/>
        <v>4.3828125</v>
      </c>
    </row>
    <row r="12" spans="1:19">
      <c r="A12" s="2">
        <v>11</v>
      </c>
      <c r="B12">
        <v>100</v>
      </c>
      <c r="C12" s="11">
        <v>105</v>
      </c>
      <c r="D12">
        <v>2</v>
      </c>
      <c r="E12">
        <v>1</v>
      </c>
      <c r="F12">
        <v>1</v>
      </c>
      <c r="G12">
        <v>2</v>
      </c>
      <c r="H12">
        <f t="shared" si="0"/>
        <v>2.5</v>
      </c>
      <c r="I12">
        <f>C12-D12*K11</f>
        <v>100.046875</v>
      </c>
      <c r="J12">
        <f t="shared" si="3"/>
        <v>1.953125</v>
      </c>
      <c r="K12">
        <f t="shared" si="1"/>
        <v>2.48828125</v>
      </c>
      <c r="L12">
        <f t="shared" si="2"/>
        <v>4.44140625</v>
      </c>
    </row>
    <row r="13" spans="1:19">
      <c r="A13" s="2">
        <v>12</v>
      </c>
      <c r="B13">
        <v>100</v>
      </c>
      <c r="C13" s="11">
        <v>105</v>
      </c>
      <c r="D13">
        <v>2</v>
      </c>
      <c r="E13">
        <v>1</v>
      </c>
      <c r="F13">
        <v>1</v>
      </c>
      <c r="G13">
        <v>2</v>
      </c>
      <c r="H13">
        <f t="shared" si="0"/>
        <v>2.5</v>
      </c>
      <c r="I13">
        <f>C13-D13*K12</f>
        <v>100.0234375</v>
      </c>
      <c r="J13">
        <f t="shared" si="3"/>
        <v>1.9765625</v>
      </c>
      <c r="K13">
        <f t="shared" si="1"/>
        <v>2.494140625</v>
      </c>
      <c r="L13">
        <f t="shared" si="2"/>
        <v>4.470703125</v>
      </c>
    </row>
    <row r="14" spans="1:19">
      <c r="A14" s="2">
        <v>13</v>
      </c>
      <c r="B14">
        <v>100</v>
      </c>
      <c r="C14" s="11">
        <v>105</v>
      </c>
      <c r="D14">
        <v>2</v>
      </c>
      <c r="E14">
        <v>1</v>
      </c>
      <c r="F14">
        <v>1</v>
      </c>
      <c r="G14">
        <v>2</v>
      </c>
      <c r="H14">
        <f t="shared" si="0"/>
        <v>2.5</v>
      </c>
      <c r="I14">
        <f>C14-D14*K13</f>
        <v>100.01171875</v>
      </c>
      <c r="J14">
        <f t="shared" si="3"/>
        <v>1.98828125</v>
      </c>
      <c r="K14">
        <f t="shared" si="1"/>
        <v>2.4970703125</v>
      </c>
      <c r="L14">
        <f t="shared" si="2"/>
        <v>4.4853515625</v>
      </c>
    </row>
    <row r="15" spans="1:19">
      <c r="A15" s="2">
        <v>14</v>
      </c>
      <c r="B15">
        <v>100</v>
      </c>
      <c r="C15" s="11">
        <v>105</v>
      </c>
      <c r="D15">
        <v>2</v>
      </c>
      <c r="E15">
        <v>1</v>
      </c>
      <c r="F15">
        <v>1</v>
      </c>
      <c r="G15">
        <v>2</v>
      </c>
      <c r="H15">
        <f t="shared" si="0"/>
        <v>2.5</v>
      </c>
      <c r="I15">
        <f>C15-D15*K14</f>
        <v>100.005859375</v>
      </c>
      <c r="J15">
        <f t="shared" si="3"/>
        <v>1.994140625</v>
      </c>
      <c r="K15">
        <f t="shared" si="1"/>
        <v>2.49853515625</v>
      </c>
      <c r="L15">
        <f t="shared" si="2"/>
        <v>4.49267578125</v>
      </c>
    </row>
    <row r="16" spans="1:19">
      <c r="A16" s="2">
        <v>15</v>
      </c>
      <c r="B16">
        <v>100</v>
      </c>
      <c r="C16" s="11">
        <v>105</v>
      </c>
      <c r="D16">
        <v>2</v>
      </c>
      <c r="E16">
        <v>1</v>
      </c>
      <c r="F16">
        <v>1</v>
      </c>
      <c r="G16">
        <v>2</v>
      </c>
      <c r="H16">
        <f t="shared" si="0"/>
        <v>2.5</v>
      </c>
      <c r="I16">
        <f>C16-D16*K15</f>
        <v>100.0029296875</v>
      </c>
      <c r="J16">
        <f t="shared" si="3"/>
        <v>1.9970703125</v>
      </c>
      <c r="K16">
        <f t="shared" si="1"/>
        <v>2.499267578125</v>
      </c>
      <c r="L16">
        <f t="shared" si="2"/>
        <v>4.496337890625</v>
      </c>
    </row>
    <row r="17" spans="1:12">
      <c r="A17" s="2">
        <v>16</v>
      </c>
      <c r="B17">
        <v>100</v>
      </c>
      <c r="C17" s="11">
        <v>105</v>
      </c>
      <c r="D17">
        <v>2</v>
      </c>
      <c r="E17">
        <v>1</v>
      </c>
      <c r="F17">
        <v>1</v>
      </c>
      <c r="G17">
        <v>2</v>
      </c>
      <c r="H17">
        <f t="shared" si="0"/>
        <v>2.5</v>
      </c>
      <c r="I17">
        <f>C17-D17*K16</f>
        <v>100.00146484375</v>
      </c>
      <c r="J17">
        <f t="shared" si="3"/>
        <v>1.99853515625</v>
      </c>
      <c r="K17">
        <f t="shared" si="1"/>
        <v>2.4996337890625</v>
      </c>
      <c r="L17">
        <f t="shared" si="2"/>
        <v>4.4981689453125</v>
      </c>
    </row>
    <row r="18" spans="1:12">
      <c r="A18" s="2">
        <v>17</v>
      </c>
      <c r="B18">
        <v>100</v>
      </c>
      <c r="C18" s="11">
        <v>105</v>
      </c>
      <c r="D18">
        <v>2</v>
      </c>
      <c r="E18">
        <v>1</v>
      </c>
      <c r="F18">
        <v>1</v>
      </c>
      <c r="G18">
        <v>2</v>
      </c>
      <c r="H18">
        <f t="shared" si="0"/>
        <v>2.5</v>
      </c>
      <c r="I18">
        <f>C18-D18*K17</f>
        <v>100.000732421875</v>
      </c>
      <c r="J18">
        <f t="shared" si="3"/>
        <v>1.999267578125</v>
      </c>
      <c r="K18">
        <f t="shared" si="1"/>
        <v>2.49981689453125</v>
      </c>
      <c r="L18">
        <f t="shared" si="2"/>
        <v>4.49908447265625</v>
      </c>
    </row>
    <row r="19" spans="1:12">
      <c r="A19" s="2">
        <v>18</v>
      </c>
      <c r="B19">
        <v>100</v>
      </c>
      <c r="C19" s="11">
        <v>105</v>
      </c>
      <c r="D19">
        <v>2</v>
      </c>
      <c r="E19">
        <v>1</v>
      </c>
      <c r="F19">
        <v>1</v>
      </c>
      <c r="G19">
        <v>2</v>
      </c>
      <c r="H19">
        <f t="shared" si="0"/>
        <v>2.5</v>
      </c>
      <c r="I19">
        <f>C19-D19*K18</f>
        <v>100.0003662109375</v>
      </c>
      <c r="J19">
        <f t="shared" si="3"/>
        <v>1.9996337890625</v>
      </c>
      <c r="K19">
        <f t="shared" si="1"/>
        <v>2.499908447265625</v>
      </c>
      <c r="L19">
        <f t="shared" si="2"/>
        <v>4.499542236328125</v>
      </c>
    </row>
    <row r="20" spans="1:12">
      <c r="A20" s="2">
        <v>19</v>
      </c>
      <c r="B20">
        <v>100</v>
      </c>
      <c r="C20" s="11">
        <v>105</v>
      </c>
      <c r="D20">
        <v>2</v>
      </c>
      <c r="E20">
        <v>1</v>
      </c>
      <c r="F20">
        <v>1</v>
      </c>
      <c r="G20">
        <v>2</v>
      </c>
      <c r="H20">
        <f t="shared" si="0"/>
        <v>2.5</v>
      </c>
      <c r="I20">
        <f>C20-D20*K19</f>
        <v>100.00018310546875</v>
      </c>
      <c r="J20">
        <f t="shared" si="3"/>
        <v>1.99981689453125</v>
      </c>
      <c r="K20">
        <f t="shared" si="1"/>
        <v>2.4999542236328125</v>
      </c>
      <c r="L20">
        <f t="shared" si="2"/>
        <v>4.4997711181640625</v>
      </c>
    </row>
    <row r="21" spans="1:12">
      <c r="A21" s="2">
        <v>20</v>
      </c>
      <c r="B21">
        <v>100</v>
      </c>
      <c r="C21" s="11">
        <v>105</v>
      </c>
      <c r="D21">
        <v>2</v>
      </c>
      <c r="E21">
        <v>1</v>
      </c>
      <c r="F21">
        <v>1</v>
      </c>
      <c r="G21">
        <v>2</v>
      </c>
      <c r="H21">
        <f t="shared" si="0"/>
        <v>2.5</v>
      </c>
      <c r="I21">
        <f>C21-D21*K20</f>
        <v>100.00009155273438</v>
      </c>
      <c r="J21">
        <f t="shared" si="3"/>
        <v>1.999908447265625</v>
      </c>
      <c r="K21">
        <f t="shared" si="1"/>
        <v>2.4999771118164063</v>
      </c>
      <c r="L21">
        <f t="shared" si="2"/>
        <v>4.4998855590820313</v>
      </c>
    </row>
    <row r="22" spans="1:12">
      <c r="A22" s="2">
        <v>21</v>
      </c>
      <c r="B22">
        <v>100</v>
      </c>
      <c r="C22" s="11">
        <v>105</v>
      </c>
      <c r="D22">
        <v>2</v>
      </c>
      <c r="E22">
        <v>1</v>
      </c>
      <c r="F22">
        <v>1</v>
      </c>
      <c r="G22">
        <v>2</v>
      </c>
      <c r="H22">
        <f t="shared" si="0"/>
        <v>2.5</v>
      </c>
      <c r="I22">
        <f>C22-D22*K21</f>
        <v>100.00004577636719</v>
      </c>
      <c r="J22">
        <f t="shared" si="3"/>
        <v>1.9999542236328125</v>
      </c>
      <c r="K22">
        <f t="shared" si="1"/>
        <v>2.4999885559082031</v>
      </c>
      <c r="L22">
        <f t="shared" si="2"/>
        <v>4.4999427795410156</v>
      </c>
    </row>
    <row r="23" spans="1:12">
      <c r="A23" s="2">
        <v>22</v>
      </c>
      <c r="B23">
        <v>100</v>
      </c>
      <c r="C23" s="11">
        <v>105</v>
      </c>
      <c r="D23">
        <v>2</v>
      </c>
      <c r="E23">
        <v>1</v>
      </c>
      <c r="F23">
        <v>1</v>
      </c>
      <c r="G23">
        <v>2</v>
      </c>
      <c r="H23">
        <f t="shared" si="0"/>
        <v>2.5</v>
      </c>
      <c r="I23">
        <f>C23-D23*K22</f>
        <v>100.00002288818359</v>
      </c>
      <c r="J23">
        <f t="shared" si="3"/>
        <v>1.9999771118164063</v>
      </c>
      <c r="K23">
        <f t="shared" si="1"/>
        <v>2.4999942779541016</v>
      </c>
      <c r="L23">
        <f t="shared" si="2"/>
        <v>4.4999713897705078</v>
      </c>
    </row>
    <row r="24" spans="1:12">
      <c r="A24" s="2">
        <v>23</v>
      </c>
      <c r="B24">
        <v>100</v>
      </c>
      <c r="C24" s="11">
        <v>105</v>
      </c>
      <c r="D24">
        <v>2</v>
      </c>
      <c r="E24">
        <v>1</v>
      </c>
      <c r="F24">
        <v>1</v>
      </c>
      <c r="G24">
        <v>2</v>
      </c>
      <c r="H24">
        <f t="shared" si="0"/>
        <v>2.5</v>
      </c>
      <c r="I24">
        <f>C24-D24*K23</f>
        <v>100.0000114440918</v>
      </c>
      <c r="J24">
        <f t="shared" si="3"/>
        <v>1.9999885559082031</v>
      </c>
      <c r="K24">
        <f t="shared" si="1"/>
        <v>2.4999971389770508</v>
      </c>
      <c r="L24">
        <f t="shared" si="2"/>
        <v>4.4999856948852539</v>
      </c>
    </row>
    <row r="25" spans="1:12">
      <c r="A25" s="2">
        <v>24</v>
      </c>
      <c r="B25">
        <v>100</v>
      </c>
      <c r="C25" s="11">
        <v>105</v>
      </c>
      <c r="D25">
        <v>2</v>
      </c>
      <c r="E25">
        <v>1</v>
      </c>
      <c r="F25">
        <v>1</v>
      </c>
      <c r="G25">
        <v>2</v>
      </c>
      <c r="H25">
        <f t="shared" si="0"/>
        <v>2.5</v>
      </c>
      <c r="I25">
        <f>C25-D25*K24</f>
        <v>100.0000057220459</v>
      </c>
      <c r="J25">
        <f t="shared" si="3"/>
        <v>1.9999942779541016</v>
      </c>
      <c r="K25">
        <f t="shared" si="1"/>
        <v>2.4999985694885254</v>
      </c>
      <c r="L25">
        <f t="shared" si="2"/>
        <v>4.499992847442627</v>
      </c>
    </row>
    <row r="26" spans="1:12">
      <c r="A26" s="2">
        <v>25</v>
      </c>
      <c r="B26">
        <v>100</v>
      </c>
      <c r="C26" s="11">
        <v>105</v>
      </c>
      <c r="D26">
        <v>2</v>
      </c>
      <c r="E26">
        <v>1</v>
      </c>
      <c r="F26">
        <v>1</v>
      </c>
      <c r="G26">
        <v>2</v>
      </c>
      <c r="H26">
        <f t="shared" si="0"/>
        <v>2.5</v>
      </c>
      <c r="I26">
        <f>C26-D26*K25</f>
        <v>100.00000286102295</v>
      </c>
      <c r="J26">
        <f t="shared" si="3"/>
        <v>1.9999971389770508</v>
      </c>
      <c r="K26">
        <f t="shared" si="1"/>
        <v>2.4999992847442627</v>
      </c>
      <c r="L26">
        <f t="shared" si="2"/>
        <v>4.4999964237213135</v>
      </c>
    </row>
    <row r="27" spans="1:12">
      <c r="A27" s="2">
        <v>26</v>
      </c>
      <c r="B27">
        <v>100</v>
      </c>
      <c r="C27" s="11">
        <v>105</v>
      </c>
      <c r="D27">
        <v>2</v>
      </c>
      <c r="E27">
        <v>1</v>
      </c>
      <c r="F27">
        <v>1</v>
      </c>
      <c r="G27">
        <v>2</v>
      </c>
      <c r="H27">
        <f t="shared" si="0"/>
        <v>2.5</v>
      </c>
      <c r="I27">
        <f>C27-D27*K26</f>
        <v>100.00000143051147</v>
      </c>
      <c r="J27">
        <f t="shared" si="3"/>
        <v>1.9999985694885254</v>
      </c>
      <c r="K27">
        <f t="shared" si="1"/>
        <v>2.4999996423721313</v>
      </c>
      <c r="L27">
        <f t="shared" si="2"/>
        <v>4.4999982118606567</v>
      </c>
    </row>
    <row r="28" spans="1:12">
      <c r="A28" s="2">
        <v>27</v>
      </c>
      <c r="B28">
        <v>100</v>
      </c>
      <c r="C28" s="11">
        <v>105</v>
      </c>
      <c r="D28">
        <v>2</v>
      </c>
      <c r="E28">
        <v>1</v>
      </c>
      <c r="F28">
        <v>1</v>
      </c>
      <c r="G28">
        <v>2</v>
      </c>
      <c r="H28">
        <f t="shared" si="0"/>
        <v>2.5</v>
      </c>
      <c r="I28">
        <f>C28-D28*K27</f>
        <v>100.00000071525574</v>
      </c>
      <c r="J28">
        <f t="shared" si="3"/>
        <v>1.9999992847442627</v>
      </c>
      <c r="K28">
        <f t="shared" si="1"/>
        <v>2.4999998211860657</v>
      </c>
      <c r="L28">
        <f t="shared" si="2"/>
        <v>4.4999991059303284</v>
      </c>
    </row>
    <row r="29" spans="1:12">
      <c r="A29" s="2">
        <v>28</v>
      </c>
      <c r="B29">
        <v>100</v>
      </c>
      <c r="C29" s="11">
        <v>105</v>
      </c>
      <c r="D29">
        <v>2</v>
      </c>
      <c r="E29">
        <v>1</v>
      </c>
      <c r="F29">
        <v>1</v>
      </c>
      <c r="G29">
        <v>2</v>
      </c>
      <c r="H29">
        <f t="shared" si="0"/>
        <v>2.5</v>
      </c>
      <c r="I29">
        <f>C29-D29*K28</f>
        <v>100.00000035762787</v>
      </c>
      <c r="J29">
        <f t="shared" si="3"/>
        <v>1.9999996423721313</v>
      </c>
      <c r="K29">
        <f t="shared" si="1"/>
        <v>2.4999999105930328</v>
      </c>
      <c r="L29">
        <f t="shared" si="2"/>
        <v>4.4999995529651642</v>
      </c>
    </row>
    <row r="30" spans="1:12">
      <c r="A30" s="2">
        <v>29</v>
      </c>
      <c r="B30">
        <v>100</v>
      </c>
      <c r="C30" s="11">
        <v>105</v>
      </c>
      <c r="D30">
        <v>2</v>
      </c>
      <c r="E30">
        <v>1</v>
      </c>
      <c r="F30">
        <v>1</v>
      </c>
      <c r="G30">
        <v>2</v>
      </c>
      <c r="H30">
        <f t="shared" si="0"/>
        <v>2.5</v>
      </c>
      <c r="I30">
        <f>C30-D30*K29</f>
        <v>100.00000017881393</v>
      </c>
      <c r="J30">
        <f t="shared" si="3"/>
        <v>1.9999998211860657</v>
      </c>
      <c r="K30">
        <f t="shared" si="1"/>
        <v>2.4999999552965164</v>
      </c>
      <c r="L30">
        <f t="shared" si="2"/>
        <v>4.4999997764825821</v>
      </c>
    </row>
    <row r="31" spans="1:12">
      <c r="A31" s="2">
        <v>30</v>
      </c>
      <c r="B31">
        <v>100</v>
      </c>
      <c r="C31" s="11">
        <v>105</v>
      </c>
      <c r="D31">
        <v>2</v>
      </c>
      <c r="E31">
        <v>1</v>
      </c>
      <c r="F31">
        <v>1</v>
      </c>
      <c r="G31">
        <v>2</v>
      </c>
      <c r="H31">
        <f t="shared" si="0"/>
        <v>2.5</v>
      </c>
      <c r="I31">
        <f>C31-D31*K30</f>
        <v>100.00000008940697</v>
      </c>
      <c r="J31">
        <f t="shared" si="3"/>
        <v>1.9999999105930328</v>
      </c>
      <c r="K31">
        <f t="shared" si="1"/>
        <v>2.4999999776482582</v>
      </c>
      <c r="L31">
        <f t="shared" si="2"/>
        <v>4.499999888241291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UPV/EHU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RODRIGUEZ</dc:creator>
  <cp:keywords/>
  <dc:description/>
  <cp:lastModifiedBy/>
  <cp:revision/>
  <dcterms:created xsi:type="dcterms:W3CDTF">2018-03-28T09:32:06Z</dcterms:created>
  <dcterms:modified xsi:type="dcterms:W3CDTF">2026-02-19T18:04:40Z</dcterms:modified>
  <cp:category/>
  <cp:contentStatus/>
</cp:coreProperties>
</file>